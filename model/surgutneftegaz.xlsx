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dar\Documents\Projects\Finance\github-portfolio\financial-analysis-surgutneftegas\model\"/>
    </mc:Choice>
  </mc:AlternateContent>
  <xr:revisionPtr revIDLastSave="0" documentId="13_ncr:1_{4B0C1543-AA96-4334-9E4E-9102B8CA2B6B}" xr6:coauthVersionLast="47" xr6:coauthVersionMax="47" xr10:uidLastSave="{00000000-0000-0000-0000-000000000000}"/>
  <bookViews>
    <workbookView xWindow="11280" yWindow="-132" windowWidth="10500" windowHeight="12348" firstSheet="4" activeTab="9" xr2:uid="{ECDE8475-5953-4637-A59B-AD070DDD2B6C}"/>
  </bookViews>
  <sheets>
    <sheet name="readme" sheetId="1" r:id="rId1"/>
    <sheet name="Баланс" sheetId="9" r:id="rId2"/>
    <sheet name="ОФР" sheetId="3" r:id="rId3"/>
    <sheet name="Потоки" sheetId="4" r:id="rId4"/>
    <sheet name="Обор" sheetId="12" r:id="rId5"/>
    <sheet name="ликв" sheetId="13" r:id="rId6"/>
    <sheet name="финуст" sheetId="14" r:id="rId7"/>
    <sheet name="рент" sheetId="15" r:id="rId8"/>
    <sheet name="сводная" sheetId="5" r:id="rId9"/>
    <sheet name="эк.приб." sheetId="11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7" i="15" l="1"/>
  <c r="C15" i="5" s="1"/>
  <c r="E14" i="12"/>
  <c r="B6" i="11"/>
  <c r="B3" i="13"/>
  <c r="B4" i="11"/>
  <c r="B46" i="15"/>
  <c r="C18" i="5"/>
  <c r="C17" i="5"/>
  <c r="B9" i="12"/>
  <c r="B8" i="12"/>
  <c r="B5" i="12"/>
  <c r="B4" i="12"/>
  <c r="B43" i="14"/>
  <c r="E36" i="9"/>
  <c r="B3" i="11"/>
  <c r="B26" i="14" l="1"/>
  <c r="B58" i="14" s="1"/>
  <c r="C36" i="14" l="1"/>
  <c r="C37" i="14" s="1"/>
  <c r="C38" i="14" s="1"/>
  <c r="B36" i="14"/>
  <c r="B34" i="14"/>
  <c r="B32" i="14"/>
  <c r="C27" i="14"/>
  <c r="B25" i="14"/>
  <c r="B27" i="14" s="1"/>
  <c r="C21" i="14"/>
  <c r="B20" i="14"/>
  <c r="B18" i="14"/>
  <c r="B17" i="14"/>
  <c r="B16" i="14"/>
  <c r="B15" i="14"/>
  <c r="C12" i="14"/>
  <c r="B11" i="14"/>
  <c r="B8" i="14"/>
  <c r="B7" i="14"/>
  <c r="C36" i="15"/>
  <c r="C37" i="15" s="1"/>
  <c r="C38" i="15" s="1"/>
  <c r="B36" i="15"/>
  <c r="B34" i="15"/>
  <c r="B32" i="15"/>
  <c r="C27" i="15"/>
  <c r="D61" i="15" s="1"/>
  <c r="B26" i="15"/>
  <c r="B25" i="15"/>
  <c r="B27" i="15" s="1"/>
  <c r="B42" i="15" s="1"/>
  <c r="C21" i="15"/>
  <c r="B20" i="15"/>
  <c r="B18" i="15"/>
  <c r="B17" i="15"/>
  <c r="B16" i="15"/>
  <c r="B15" i="15"/>
  <c r="C12" i="15"/>
  <c r="B11" i="15"/>
  <c r="B8" i="15"/>
  <c r="B7" i="15"/>
  <c r="B34" i="9"/>
  <c r="B32" i="9"/>
  <c r="B30" i="9"/>
  <c r="B24" i="9"/>
  <c r="B23" i="9"/>
  <c r="B18" i="9"/>
  <c r="B16" i="9"/>
  <c r="B15" i="9"/>
  <c r="B14" i="9"/>
  <c r="B13" i="9"/>
  <c r="B9" i="9"/>
  <c r="B6" i="9"/>
  <c r="B5" i="9"/>
  <c r="C25" i="9"/>
  <c r="C10" i="9"/>
  <c r="C19" i="9"/>
  <c r="B25" i="13"/>
  <c r="D58" i="15"/>
  <c r="C58" i="15"/>
  <c r="C39" i="15" l="1"/>
  <c r="B37" i="14"/>
  <c r="B38" i="14" s="1"/>
  <c r="C39" i="14"/>
  <c r="B25" i="9"/>
  <c r="B21" i="15"/>
  <c r="B37" i="15"/>
  <c r="B38" i="15" s="1"/>
  <c r="B39" i="15" s="1"/>
  <c r="B12" i="15"/>
  <c r="C22" i="15"/>
  <c r="D59" i="15" s="1"/>
  <c r="B39" i="14"/>
  <c r="B21" i="14"/>
  <c r="B12" i="14"/>
  <c r="C22" i="14"/>
  <c r="B19" i="9"/>
  <c r="B10" i="9"/>
  <c r="C20" i="9"/>
  <c r="D60" i="15" l="1"/>
  <c r="C63" i="15" s="1"/>
  <c r="B20" i="9"/>
  <c r="B22" i="15"/>
  <c r="C60" i="15" s="1"/>
  <c r="B22" i="14"/>
  <c r="B55" i="14" s="1"/>
  <c r="B43" i="15"/>
  <c r="B44" i="15"/>
  <c r="C64" i="15" l="1"/>
  <c r="C65" i="15" s="1"/>
  <c r="C59" i="15"/>
  <c r="C66" i="15" s="1"/>
  <c r="C67" i="15" s="1"/>
  <c r="B45" i="15"/>
  <c r="C68" i="15" l="1"/>
  <c r="C69" i="15" s="1"/>
  <c r="C70" i="15" s="1"/>
  <c r="C61" i="15"/>
  <c r="C62" i="15" s="1"/>
  <c r="B54" i="14" l="1"/>
  <c r="F19" i="14"/>
  <c r="B47" i="14"/>
  <c r="B50" i="14" l="1"/>
  <c r="F20" i="14"/>
  <c r="F21" i="14" s="1"/>
  <c r="B59" i="14" s="1"/>
  <c r="B60" i="14"/>
  <c r="B48" i="14"/>
  <c r="B49" i="14" s="1"/>
  <c r="B44" i="14" l="1"/>
  <c r="B51" i="14"/>
  <c r="B52" i="14" s="1"/>
  <c r="B39" i="13" l="1"/>
  <c r="B35" i="13"/>
  <c r="B33" i="13"/>
  <c r="B29" i="13" s="1"/>
  <c r="B32" i="13"/>
  <c r="B28" i="13" s="1"/>
  <c r="B31" i="13"/>
  <c r="B27" i="13" s="1"/>
  <c r="B30" i="13"/>
  <c r="B18" i="13"/>
  <c r="B17" i="13"/>
  <c r="C17" i="13" s="1"/>
  <c r="B14" i="13"/>
  <c r="B12" i="13"/>
  <c r="E6" i="13"/>
  <c r="B6" i="13"/>
  <c r="B5" i="13"/>
  <c r="B13" i="13" s="1"/>
  <c r="E4" i="13"/>
  <c r="B36" i="13" l="1"/>
  <c r="B37" i="13" s="1"/>
  <c r="B38" i="13" s="1"/>
  <c r="B40" i="13" s="1"/>
  <c r="B41" i="13" s="1"/>
  <c r="B19" i="13"/>
  <c r="B20" i="13" s="1"/>
  <c r="C18" i="13"/>
  <c r="C19" i="13" l="1"/>
  <c r="B21" i="13"/>
  <c r="C20" i="13"/>
  <c r="B30" i="12"/>
  <c r="C30" i="12" s="1"/>
  <c r="B27" i="12"/>
  <c r="E24" i="12"/>
  <c r="B24" i="12"/>
  <c r="C24" i="12" s="1"/>
  <c r="E21" i="12"/>
  <c r="B21" i="12"/>
  <c r="C21" i="12" s="1"/>
  <c r="E18" i="12"/>
  <c r="F18" i="12" s="1"/>
  <c r="B18" i="12"/>
  <c r="B7" i="12"/>
  <c r="B14" i="12" s="1"/>
  <c r="C14" i="12" s="1"/>
  <c r="B3" i="12"/>
  <c r="B13" i="12" s="1"/>
  <c r="C13" i="12" s="1"/>
  <c r="E8" i="12"/>
  <c r="C34" i="9"/>
  <c r="C35" i="9" s="1"/>
  <c r="C36" i="9" s="1"/>
  <c r="C37" i="9" s="1"/>
  <c r="B35" i="9"/>
  <c r="B36" i="9" s="1"/>
  <c r="B37" i="9" l="1"/>
  <c r="B1" i="11"/>
  <c r="C18" i="12"/>
  <c r="C27" i="12"/>
  <c r="F21" i="12"/>
  <c r="F24" i="12"/>
  <c r="B22" i="13"/>
  <c r="C21" i="13"/>
  <c r="C7" i="4"/>
  <c r="D7" i="4" s="1"/>
  <c r="B7" i="4"/>
  <c r="D6" i="4"/>
  <c r="D5" i="4"/>
  <c r="D4" i="4"/>
  <c r="D16" i="3"/>
  <c r="D15" i="3"/>
  <c r="D14" i="3"/>
  <c r="D13" i="3"/>
  <c r="D12" i="3"/>
  <c r="D11" i="3"/>
  <c r="D10" i="3"/>
  <c r="D9" i="3"/>
  <c r="D8" i="3"/>
  <c r="D7" i="3"/>
  <c r="D6" i="3"/>
  <c r="D5" i="3"/>
  <c r="D4" i="3"/>
  <c r="B2" i="11"/>
  <c r="C33" i="12" l="1"/>
  <c r="F27" i="12"/>
  <c r="C78" i="9"/>
  <c r="B78" i="9"/>
  <c r="C76" i="9"/>
  <c r="B76" i="9"/>
  <c r="C73" i="9"/>
  <c r="B73" i="9"/>
  <c r="C72" i="9"/>
  <c r="B72" i="9"/>
  <c r="C71" i="9"/>
  <c r="B71" i="9"/>
  <c r="C68" i="9"/>
  <c r="B68" i="9"/>
  <c r="C66" i="9"/>
  <c r="C79" i="9" s="1"/>
  <c r="B66" i="9"/>
  <c r="C64" i="9"/>
  <c r="B64" i="9"/>
  <c r="C63" i="9"/>
  <c r="B63" i="9"/>
  <c r="C59" i="9"/>
  <c r="B59" i="9"/>
  <c r="C57" i="9"/>
  <c r="B57" i="9"/>
  <c r="C56" i="9"/>
  <c r="B56" i="9"/>
  <c r="C55" i="9"/>
  <c r="B55" i="9"/>
  <c r="C54" i="9"/>
  <c r="B54" i="9"/>
  <c r="C53" i="9"/>
  <c r="B53" i="9"/>
  <c r="C52" i="9"/>
  <c r="B52" i="9"/>
  <c r="C51" i="9"/>
  <c r="B51" i="9"/>
  <c r="C49" i="9"/>
  <c r="B49" i="9"/>
  <c r="C47" i="9"/>
  <c r="B47" i="9"/>
  <c r="C46" i="9"/>
  <c r="B46" i="9"/>
  <c r="C45" i="9"/>
  <c r="B45" i="9"/>
  <c r="C44" i="9"/>
  <c r="B44" i="9"/>
  <c r="C43" i="9"/>
  <c r="B43" i="9"/>
  <c r="D37" i="9"/>
  <c r="E37" i="9" s="1"/>
  <c r="D36" i="9"/>
  <c r="D35" i="9"/>
  <c r="E35" i="9" s="1"/>
  <c r="C75" i="9"/>
  <c r="B75" i="9"/>
  <c r="D32" i="9"/>
  <c r="E32" i="9" s="1"/>
  <c r="D31" i="9"/>
  <c r="E31" i="9" s="1"/>
  <c r="D30" i="9"/>
  <c r="E30" i="9" s="1"/>
  <c r="D27" i="9"/>
  <c r="E27" i="9" s="1"/>
  <c r="D25" i="9"/>
  <c r="E25" i="9" s="1"/>
  <c r="D24" i="9"/>
  <c r="E24" i="9" s="1"/>
  <c r="D23" i="9"/>
  <c r="E23" i="9" s="1"/>
  <c r="D20" i="9"/>
  <c r="E20" i="9" s="1"/>
  <c r="D19" i="9"/>
  <c r="E19" i="9" s="1"/>
  <c r="D18" i="9"/>
  <c r="E18" i="9" s="1"/>
  <c r="D17" i="9"/>
  <c r="E17" i="9" s="1"/>
  <c r="D16" i="9"/>
  <c r="E16" i="9" s="1"/>
  <c r="D15" i="9"/>
  <c r="E15" i="9" s="1"/>
  <c r="D14" i="9"/>
  <c r="E14" i="9" s="1"/>
  <c r="D13" i="9"/>
  <c r="E13" i="9" s="1"/>
  <c r="D12" i="9"/>
  <c r="E12" i="9" s="1"/>
  <c r="D10" i="9"/>
  <c r="E10" i="9" s="1"/>
  <c r="D9" i="9"/>
  <c r="E9" i="9" s="1"/>
  <c r="D8" i="9"/>
  <c r="E8" i="9" s="1"/>
  <c r="D7" i="9"/>
  <c r="E7" i="9" s="1"/>
  <c r="D6" i="9"/>
  <c r="E6" i="9" s="1"/>
  <c r="D5" i="9"/>
  <c r="E5" i="9" s="1"/>
  <c r="F29" i="12" l="1"/>
  <c r="B77" i="9"/>
  <c r="B79" i="9"/>
  <c r="C48" i="9"/>
  <c r="C77" i="9"/>
  <c r="B48" i="9"/>
  <c r="B65" i="9"/>
  <c r="C65" i="9"/>
  <c r="B58" i="9"/>
  <c r="C58" i="9"/>
  <c r="D34" i="9"/>
  <c r="E34" i="9" s="1"/>
</calcChain>
</file>

<file path=xl/sharedStrings.xml><?xml version="1.0" encoding="utf-8"?>
<sst xmlns="http://schemas.openxmlformats.org/spreadsheetml/2006/main" count="559" uniqueCount="353">
  <si>
    <t>Наименование показателя</t>
  </si>
  <si>
    <t>На 31 декабря 2023 года</t>
  </si>
  <si>
    <t>На 31 декабря 2022 года</t>
  </si>
  <si>
    <t>Актив</t>
  </si>
  <si>
    <t>1. Внеоборотные активы</t>
  </si>
  <si>
    <t>Нематериальные активы</t>
  </si>
  <si>
    <t>Основные средства</t>
  </si>
  <si>
    <t>Незавершенные капитальные вложения</t>
  </si>
  <si>
    <t>Долгосрочные финансовые вложения</t>
  </si>
  <si>
    <t>Прочие внеоборотные активы</t>
  </si>
  <si>
    <t>Итого по разделу 1</t>
  </si>
  <si>
    <t>2. Оборотные активы</t>
  </si>
  <si>
    <t>Авансы поставщикам</t>
  </si>
  <si>
    <t>Сырье и материалы</t>
  </si>
  <si>
    <t>Незавершенное производство</t>
  </si>
  <si>
    <t>Готовая продукция и товары</t>
  </si>
  <si>
    <t>Дебиторская задолженность</t>
  </si>
  <si>
    <t>Денежные средства и денежные эквиваленты</t>
  </si>
  <si>
    <t>Прочие оборотные активы</t>
  </si>
  <si>
    <t>Итого по разделу 2</t>
  </si>
  <si>
    <t>Баланс</t>
  </si>
  <si>
    <t>Пассив</t>
  </si>
  <si>
    <t>Собственные средства</t>
  </si>
  <si>
    <t xml:space="preserve">Уставный капитал </t>
  </si>
  <si>
    <t>Накопленный капитал</t>
  </si>
  <si>
    <t>Итого собственных средств</t>
  </si>
  <si>
    <t>Заемные средства</t>
  </si>
  <si>
    <t>Долгосрочные обязательства</t>
  </si>
  <si>
    <t>Краткосрочные обязательства</t>
  </si>
  <si>
    <t>Краткосрочные кредиты</t>
  </si>
  <si>
    <t>-</t>
  </si>
  <si>
    <t xml:space="preserve">Кредиторская задолженность (счета к оплате) </t>
  </si>
  <si>
    <t>Авансы полученные</t>
  </si>
  <si>
    <t>Расчеты с бюджетом и внебюджетными фондами</t>
  </si>
  <si>
    <t>Расчеты по заработной плате</t>
  </si>
  <si>
    <t>Прочие краткосрочные обязательства</t>
  </si>
  <si>
    <t>Итого краткосрочных обязательств</t>
  </si>
  <si>
    <t>Итого заемных средств</t>
  </si>
  <si>
    <t>Внеоборотные активы</t>
  </si>
  <si>
    <t>Итого по внеоборотных активов</t>
  </si>
  <si>
    <t>Доля внеоборотных активов в общих активов</t>
  </si>
  <si>
    <t>Оборотные активы</t>
  </si>
  <si>
    <t>Итого по разделу оборотные активы</t>
  </si>
  <si>
    <t>Доля оборотных активов в общих активов</t>
  </si>
  <si>
    <t>Итого активов</t>
  </si>
  <si>
    <t>Доля собственных средств в общем пассиве</t>
  </si>
  <si>
    <t>Доля заёмных средств в общем пассиве</t>
  </si>
  <si>
    <t>Итого пассивов</t>
  </si>
  <si>
    <t>Отчет о финансовых результатах</t>
  </si>
  <si>
    <t>Выручка</t>
  </si>
  <si>
    <t xml:space="preserve">Себестоимость </t>
  </si>
  <si>
    <t xml:space="preserve">Управленческие расходы </t>
  </si>
  <si>
    <t>Коммерческие расходы</t>
  </si>
  <si>
    <t>Прибыль от продаж</t>
  </si>
  <si>
    <t>Проценты к уплате</t>
  </si>
  <si>
    <t>Проценты к получению</t>
  </si>
  <si>
    <t>Доходы от участия</t>
  </si>
  <si>
    <t xml:space="preserve">Прочие доходы </t>
  </si>
  <si>
    <t>Прочие расходы</t>
  </si>
  <si>
    <t xml:space="preserve">Прибыль до налогообложения </t>
  </si>
  <si>
    <t>Налог на прибыль</t>
  </si>
  <si>
    <t xml:space="preserve">Чистая прибыль </t>
  </si>
  <si>
    <t>Рентабельность собственного кап.</t>
  </si>
  <si>
    <t>Рентабельность активов (всего кап.)</t>
  </si>
  <si>
    <t>Средняя процентная ставка</t>
  </si>
  <si>
    <t>Эффект рычага</t>
  </si>
  <si>
    <t>Факторный анализ</t>
  </si>
  <si>
    <t>Показатель</t>
  </si>
  <si>
    <t>Формула</t>
  </si>
  <si>
    <t>Рентабельность продаж (ROS)</t>
  </si>
  <si>
    <t>Чистая прибыль / Выручка</t>
  </si>
  <si>
    <t>Оборачиваемость активов (ATO)</t>
  </si>
  <si>
    <t>Выручка / Активы</t>
  </si>
  <si>
    <t>Мод. финансовый рычаг (EM)</t>
  </si>
  <si>
    <t>Активы / Собственный капитал</t>
  </si>
  <si>
    <t>Рентабельность собственного кап. (формула Дюпон)</t>
  </si>
  <si>
    <t>ROS * ATO * EM</t>
  </si>
  <si>
    <t>Изменение ROE</t>
  </si>
  <si>
    <t>K0</t>
  </si>
  <si>
    <t>K0 = ROS₁ × ATO₁ × EM₁</t>
  </si>
  <si>
    <t>K1</t>
  </si>
  <si>
    <t>K1 = ROS₂ × ATO₁ × EM₁</t>
  </si>
  <si>
    <t>Первый фактор</t>
  </si>
  <si>
    <t>K1-К0</t>
  </si>
  <si>
    <t>K2</t>
  </si>
  <si>
    <t>K2 = ROS₂ × ATO₂ × EM₁</t>
  </si>
  <si>
    <t xml:space="preserve">Второй фактор </t>
  </si>
  <si>
    <t>К2-К1</t>
  </si>
  <si>
    <t>К3</t>
  </si>
  <si>
    <t>K3 = ROS₂ × ATO₂ × EM₂</t>
  </si>
  <si>
    <t>Третий фактор</t>
  </si>
  <si>
    <t>К3-К2</t>
  </si>
  <si>
    <t>Проверка</t>
  </si>
  <si>
    <t>ΔROE = Ф1+Ф2+Ф3</t>
  </si>
  <si>
    <t>ROE</t>
  </si>
  <si>
    <t>Е</t>
  </si>
  <si>
    <t>Ke</t>
  </si>
  <si>
    <t>Rf</t>
  </si>
  <si>
    <t>(Rm-Rf)</t>
  </si>
  <si>
    <t>Финансовый анализ ПАО Сургутнефтегаз</t>
  </si>
  <si>
    <t>Период: 2022-2023 (РСБУ)</t>
  </si>
  <si>
    <t>Лист</t>
  </si>
  <si>
    <t>Описание</t>
  </si>
  <si>
    <t>РСБУ 2023</t>
  </si>
  <si>
    <t>Деятельность</t>
  </si>
  <si>
    <t>Операционная</t>
  </si>
  <si>
    <t>Инвестиционная</t>
  </si>
  <si>
    <t>Финансовая</t>
  </si>
  <si>
    <t>Чистый денежный поток</t>
  </si>
  <si>
    <t>Жизненный цикл</t>
  </si>
  <si>
    <t>Классическая зрелость</t>
  </si>
  <si>
    <t>ВЫВОДЫ:</t>
  </si>
  <si>
    <t>Операционный поток устойчиво положительный — стабильная генерирующая способность бизнеса.</t>
  </si>
  <si>
    <t>Инвестиционный поток значимо отрицателен, но по модулю ниже операционного — характерно для зрелых компаний.</t>
  </si>
  <si>
    <t>Финансовая деятельность отрицательна — погашение обязательств и выплата дивидендов.</t>
  </si>
  <si>
    <t>Падение операционного потока в 2023 на 26% (-140 млрд) при росте чистой прибыли в 22 раза — сигнал о том, что прибыль растёт не за счёт операционной деятельности.</t>
  </si>
  <si>
    <t>Категория</t>
  </si>
  <si>
    <t>Значение</t>
  </si>
  <si>
    <t>Отрасль</t>
  </si>
  <si>
    <t>Норма / мин.доп.</t>
  </si>
  <si>
    <t>Оценка</t>
  </si>
  <si>
    <t>Ликвидность</t>
  </si>
  <si>
    <t>Коэффициент текущей ликвидности</t>
  </si>
  <si>
    <t>Коэффициент абсолютной ликвидности</t>
  </si>
  <si>
    <t>Коэффициент среднесрочной ликвидности</t>
  </si>
  <si>
    <t>Коэффициент покрытия среднедневных платежей (раз)</t>
  </si>
  <si>
    <t>Фин. устойчивость</t>
  </si>
  <si>
    <t>Коэффициент автономии (СК/Активы)</t>
  </si>
  <si>
    <t>Коэффициент финансового рычага (ЗК/СК)</t>
  </si>
  <si>
    <t>Низкий — недозагрузка рычага</t>
  </si>
  <si>
    <t>Коэффициент Альтмана (Z)</t>
  </si>
  <si>
    <t>Коэффициент покрытия процентов</t>
  </si>
  <si>
    <t>Не рассчитывается (нет % к уплате)</t>
  </si>
  <si>
    <t>Коэффициент ОДАСС</t>
  </si>
  <si>
    <t>&gt;1</t>
  </si>
  <si>
    <t>Рентабельность</t>
  </si>
  <si>
    <t>ROE (Чистая прибыль / СК)</t>
  </si>
  <si>
    <t>ROA (Чистая прибыль / Активы)</t>
  </si>
  <si>
    <t>Рентабельность продаж (ROS, по чистой прибыли)</t>
  </si>
  <si>
    <t>Оборачиваемость</t>
  </si>
  <si>
    <t>Период оборота активов (дн)</t>
  </si>
  <si>
    <t>Период оборота текущих активов (дн)</t>
  </si>
  <si>
    <t>Период оборота запасов (дн)</t>
  </si>
  <si>
    <t>Период оборота ДЗ (дн)</t>
  </si>
  <si>
    <t>Период оборота КЗ (дн, общая)</t>
  </si>
  <si>
    <t>Нейтрально</t>
  </si>
  <si>
    <t>Производственно-коммерческий цикл (дн)</t>
  </si>
  <si>
    <t>Норма</t>
  </si>
  <si>
    <t>Чистый цикл (дн)</t>
  </si>
  <si>
    <t>Норма для отрасли</t>
  </si>
  <si>
    <t>Прибыльность</t>
  </si>
  <si>
    <t>Маржинальная прибыль (млрд ₽)</t>
  </si>
  <si>
    <t>Положительная</t>
  </si>
  <si>
    <t>Производственный рычаг</t>
  </si>
  <si>
    <t>Чувствительность к изменению выручки</t>
  </si>
  <si>
    <t>Запас прочности</t>
  </si>
  <si>
    <t>Зона низкого риска</t>
  </si>
  <si>
    <t>Экон. прибыль</t>
  </si>
  <si>
    <t>Стоимость капитала (Ke)</t>
  </si>
  <si>
    <t>Экономическая прибыль (EVA), млрд ₽</t>
  </si>
  <si>
    <t>&gt;0</t>
  </si>
  <si>
    <t>Изменение</t>
  </si>
  <si>
    <t>Изменение, %</t>
  </si>
  <si>
    <t>Потоки организации</t>
  </si>
  <si>
    <t>Агрегирование баланса ПАО "Сургутнефтегаз"</t>
  </si>
  <si>
    <t>Себестоимость продаж</t>
  </si>
  <si>
    <t>Управленческие расходы</t>
  </si>
  <si>
    <t>Средние текущие активы</t>
  </si>
  <si>
    <t>Оборотные активы на 31.12.2022</t>
  </si>
  <si>
    <t>Оборотные активы на 31.12.2023</t>
  </si>
  <si>
    <t>период (в днях)</t>
  </si>
  <si>
    <t>отрасль (2023)</t>
  </si>
  <si>
    <t>К1 (оборотных активов)</t>
  </si>
  <si>
    <t>Средние активы (баланс)</t>
  </si>
  <si>
    <t>К2 (активов)</t>
  </si>
  <si>
    <t>Активы на 31.12.2022</t>
  </si>
  <si>
    <t>Активы на 31.12.2023</t>
  </si>
  <si>
    <t xml:space="preserve">Финансовый цикл </t>
  </si>
  <si>
    <t>Значения</t>
  </si>
  <si>
    <t>Дни</t>
  </si>
  <si>
    <t>Кредиторский цикл</t>
  </si>
  <si>
    <t>Авансы поставщиком на 31.12.2022</t>
  </si>
  <si>
    <t>Авансы покупателям на 31.12.2023</t>
  </si>
  <si>
    <t>Авансы поставщиком на 31.12.2023</t>
  </si>
  <si>
    <t>Авансы покупателям на 31.12.2022</t>
  </si>
  <si>
    <t xml:space="preserve">Устойчивые пассивы </t>
  </si>
  <si>
    <t>Материальные запасы на 31.12.2022</t>
  </si>
  <si>
    <t>Расчеты с бюджетом на 31.12.2022</t>
  </si>
  <si>
    <t>Материальные запасы на 31.12.2023</t>
  </si>
  <si>
    <t>Расчеты с бюджетом на 31.12.2023</t>
  </si>
  <si>
    <t>Незавершенное производство на 31.12.2022</t>
  </si>
  <si>
    <t>КЗ на 31.12.2022</t>
  </si>
  <si>
    <t>Незавершенное производство на 31.12.2023</t>
  </si>
  <si>
    <t>КЗ  на 31.12.2023</t>
  </si>
  <si>
    <t>Готовая продукция на 31.12.2022</t>
  </si>
  <si>
    <t>Готовая продукция на 31.12.2023</t>
  </si>
  <si>
    <t>Чистый цикл</t>
  </si>
  <si>
    <t>ДЗ на 31.12.2022</t>
  </si>
  <si>
    <t>ДЗ на 31.12.2023</t>
  </si>
  <si>
    <t>А1</t>
  </si>
  <si>
    <t>&gt;</t>
  </si>
  <si>
    <t>П1</t>
  </si>
  <si>
    <t>А2</t>
  </si>
  <si>
    <t>П2</t>
  </si>
  <si>
    <t>А3</t>
  </si>
  <si>
    <t>П3</t>
  </si>
  <si>
    <t>А4</t>
  </si>
  <si>
    <t>&lt;</t>
  </si>
  <si>
    <t>П4</t>
  </si>
  <si>
    <t>Тек. активы</t>
  </si>
  <si>
    <t>Тек. пассивы</t>
  </si>
  <si>
    <t>Сургутнефтегаз:</t>
  </si>
  <si>
    <t>Отрасль:</t>
  </si>
  <si>
    <t>Коэффициент мнгновенной ликвидности</t>
  </si>
  <si>
    <t>в тыс</t>
  </si>
  <si>
    <t>В млрд:</t>
  </si>
  <si>
    <t>чок 2022</t>
  </si>
  <si>
    <t>чок 2023</t>
  </si>
  <si>
    <t>изм. чок</t>
  </si>
  <si>
    <t>затраты на 2023</t>
  </si>
  <si>
    <t>среднедневные платежи</t>
  </si>
  <si>
    <t>Коэффициент покрытия</t>
  </si>
  <si>
    <t>Себестоимость+К+У</t>
  </si>
  <si>
    <t>Период оборота ДЗ</t>
  </si>
  <si>
    <t>Период оборота КЗ</t>
  </si>
  <si>
    <t>Период оборота авансов поставщикам</t>
  </si>
  <si>
    <t>Период оборота авансов покупателей</t>
  </si>
  <si>
    <t>Средняя величина ДЗ</t>
  </si>
  <si>
    <t>Средняя величина КЗ</t>
  </si>
  <si>
    <t>Средняя величина авансов поставщикам</t>
  </si>
  <si>
    <t>Средняя величина авансов покупателей</t>
  </si>
  <si>
    <t>Средняя стоимость наименее ликвидной части активов</t>
  </si>
  <si>
    <t>Поступления от покупателей, имеющиеся к сроку погашения кредиторской задолженности и выплаты авансов поставщикам</t>
  </si>
  <si>
    <t>Собственные средства, необход. для покрытия текущих платежей поставщикам</t>
  </si>
  <si>
    <t>Всего необходимо собственных средств (достаточный ЧОК)</t>
  </si>
  <si>
    <t>Средняя фактическая величина текущих активов</t>
  </si>
  <si>
    <t>Допустимая величина текущих пассивов</t>
  </si>
  <si>
    <t xml:space="preserve">Допустимый для данного предприятия Кобл </t>
  </si>
  <si>
    <t>Среднеотраслевой коэффициент автономии</t>
  </si>
  <si>
    <t>https://www.testfirm.ru/otrasli/06_10/</t>
  </si>
  <si>
    <t>Коэффициент автономии (собственный/заемный капитал)</t>
  </si>
  <si>
    <t>Коэффициент автономии (собственный капитал/итого баланса)</t>
  </si>
  <si>
    <t>Минимально-допустимый коэффициент автономии</t>
  </si>
  <si>
    <t>Стоимость постоянных активов (ОС + незав.кап.вл.)</t>
  </si>
  <si>
    <t>Стоимость наименее ликв. текущих активов (МПЗ + незав. Пр-во)</t>
  </si>
  <si>
    <t>Итого наименее ликвидная часть активов (необходимо собственных средств)</t>
  </si>
  <si>
    <t>Фактическая величина активов</t>
  </si>
  <si>
    <t>Допустимая величина заемных средств</t>
  </si>
  <si>
    <t>Допустимое для данного предприятия соотношение собственных и заемных средств</t>
  </si>
  <si>
    <t>не рассчитывается - нет процентов к уплате</t>
  </si>
  <si>
    <t>Коэффициент Альтмана</t>
  </si>
  <si>
    <t>Финансирование</t>
  </si>
  <si>
    <t>Коэффициент самофинансирования</t>
  </si>
  <si>
    <t>Коэффициент мобилизации накопленного капитала</t>
  </si>
  <si>
    <t>К одасс</t>
  </si>
  <si>
    <t xml:space="preserve">Расчет минимально допустимого коэффициента </t>
  </si>
  <si>
    <t>Структура баланса</t>
  </si>
  <si>
    <t>Агрегированный баланс ПАО "Сургутнефтегаз"</t>
  </si>
  <si>
    <t>за 2023</t>
  </si>
  <si>
    <t>за 2022</t>
  </si>
  <si>
    <t>Показатели оборачиваемости</t>
  </si>
  <si>
    <t>Показатели ликвидности</t>
  </si>
  <si>
    <t>Показатели финансовой устойчивости</t>
  </si>
  <si>
    <t>Сводная таблица финансовых показателей</t>
  </si>
  <si>
    <t xml:space="preserve">Выручка </t>
  </si>
  <si>
    <t>Сумма</t>
  </si>
  <si>
    <t>2023 год</t>
  </si>
  <si>
    <t>Норма (избыток оборотных активов)</t>
  </si>
  <si>
    <t>Высокая</t>
  </si>
  <si>
    <t>Очень высокий</t>
  </si>
  <si>
    <t>Абсолютно устойчива (избыток СК)</t>
  </si>
  <si>
    <t>Серая зона (1.81–2.7)</t>
  </si>
  <si>
    <t>Инвест.политика соответствует возможностям</t>
  </si>
  <si>
    <t>Выше отрасли</t>
  </si>
  <si>
    <t>Значительно выше отрасли</t>
  </si>
  <si>
    <t>Завышена прочими доходами (валютная переоценка)</t>
  </si>
  <si>
    <t>Бизнес разрушает стоимость — главный риск</t>
  </si>
  <si>
    <t>Бухгалтерская отчётность ПАО Сургутнефтегаз за 2022 и 2023 годы (smart-lab.ru)</t>
  </si>
  <si>
    <t xml:space="preserve">&gt;2.7 </t>
  </si>
  <si>
    <t>B lev</t>
  </si>
  <si>
    <t>Bu</t>
  </si>
  <si>
    <t>Экономическая прибыль</t>
  </si>
  <si>
    <t>ОФР</t>
  </si>
  <si>
    <t>Отчёт о финансовых результатах 2022/2023: выручка, себестоимость, прибыль от продаж, прочие доходы/расходы, налог, чистая прибыль</t>
  </si>
  <si>
    <t>Потоки</t>
  </si>
  <si>
    <t>Обор</t>
  </si>
  <si>
    <t>ликв</t>
  </si>
  <si>
    <t>финуст</t>
  </si>
  <si>
    <t>рент</t>
  </si>
  <si>
    <t>сводная</t>
  </si>
  <si>
    <t>Сводная таблица 25+ финансовых коэффициентов с категориями, сравнением со среднеотраслевыми и оценкой по каждому показателю</t>
  </si>
  <si>
    <t>эк.приб.</t>
  </si>
  <si>
    <t>1. Ликвидность</t>
  </si>
  <si>
    <t>2. Фин. устойчивость</t>
  </si>
  <si>
    <t>3. Рентабельность</t>
  </si>
  <si>
    <t>4. Главный риск</t>
  </si>
  <si>
    <t>5. Рекомендации</t>
  </si>
  <si>
    <t>Собственный капитал (СК), тыс. ₽</t>
  </si>
  <si>
    <t>Бета unlevered — отраслевая (нефтегаз)</t>
  </si>
  <si>
    <t>Премия за рыночный риск (Equity Risk Premium, Damodaran для развивающихся рынков)</t>
  </si>
  <si>
    <t>компания не покрывает требуемую доходность инвесторов. С точки зрения экономической</t>
  </si>
  <si>
    <t>эффективности бизнес не создаёт стоимость для акционеров, а наоборот — разрушает её.</t>
  </si>
  <si>
    <t>Это главный риск компании несмотря на формально высокую чистую рентабельность.</t>
  </si>
  <si>
    <t>2. Beta levered: B = Bu·(1 + (1-t)·D/E) — корректирует unlevered бету на долговую нагрузку</t>
  </si>
  <si>
    <t>4. У Сургутнефтегаза D/E ≈ 0.11 (низкий долг) — поэтому Beta levered близка к Bu</t>
  </si>
  <si>
    <t>Вывод</t>
  </si>
  <si>
    <t>Методология</t>
  </si>
  <si>
    <t>1. CAPM: Ke = Rf + B·(Rm - Rf) — стандартная модель ценообразования капитальных активов</t>
  </si>
  <si>
    <t>3. Эк. прибыль = (ROE - Ke) · СК — отражает создание/разрушение стоимости относительно стоимости капитала</t>
  </si>
  <si>
    <t>ROE (17.85%) ниже стоимости капитала Ke (23.37%) — отрицательная эк. прибыль означает, что</t>
  </si>
  <si>
    <t>компания разрушает стоимость</t>
  </si>
  <si>
    <t xml:space="preserve">Безрисковая ставка </t>
  </si>
  <si>
    <t>ЦБ РФ</t>
  </si>
  <si>
    <t>Damodaran (нефтегаз), Emerging Markets</t>
  </si>
  <si>
    <t>Содержание</t>
  </si>
  <si>
    <t xml:space="preserve">Агрегированный бухгалтерский баланс 2022/2023, абсолютная динамика (Δ) и относительная (Δ%), структура баланса </t>
  </si>
  <si>
    <t>Потоки денежных средств: операционная, инвестиционная, финансовая деятельность. Жизненный цикл — классическая зрелость</t>
  </si>
  <si>
    <t>Показатели финансовой устойчивости: коэффициент автономии, минимально допустимый автономии, Альтман, ОДАСС, самофинансирование, мобилизация накопленного капитала</t>
  </si>
  <si>
    <t>Рентабельность: ROE, ROA, эффект рычага. Operating ROE. Факторный анализ Дюпон (цепные подстановки)</t>
  </si>
  <si>
    <t>Расчёт стоимости собственного капитала (Ke) через CAPM и экономической прибыли (EVA). Ключевой insight: ROE &lt; Ke =&gt; бизнес разрушает стоимость</t>
  </si>
  <si>
    <t>Damodaran</t>
  </si>
  <si>
    <t>Коэффициент автономии 0.90 при норме 0.29 — недозагрузка финансового рычага, потенциал привлечения заёмного капитала</t>
  </si>
  <si>
    <t>Привлечение заёмного капитала для эффекта рычага; оптимизация оборачиваемости запасов; диверсификация доходов от прочих видов деятельности</t>
  </si>
  <si>
    <t>Источники</t>
  </si>
  <si>
    <t>Автор: Бабаев Эльдар   eldarba18@gmail.com</t>
  </si>
  <si>
    <t>Ключевые выводы</t>
  </si>
  <si>
    <t>Показатели рентабельности</t>
  </si>
  <si>
    <t>Сургтунефтегаз</t>
  </si>
  <si>
    <t>Операционная маржа</t>
  </si>
  <si>
    <t>Операционная маржа (ROS, по операционной прибыли)</t>
  </si>
  <si>
    <t xml:space="preserve">ROS по чистой прибыли (60.14%) включает огромные прочие доходы (1.78 трлн ₽), </t>
  </si>
  <si>
    <t>в основном - валютную переоценку депозитов. Operating ROS (12.62%) лучше отражает операционную эффективность основного бизнеса</t>
  </si>
  <si>
    <t xml:space="preserve"> Существенно ниже чистого ROS — операционная маржа невысокая</t>
  </si>
  <si>
    <t>Медленнее отрасли в 4 раза</t>
  </si>
  <si>
    <t>Медленнее</t>
  </si>
  <si>
    <t>Медленнее - нужна оптимизация управления запасами</t>
  </si>
  <si>
    <t>Эк. Прибыль</t>
  </si>
  <si>
    <t>Среднеотраслевые зн.</t>
  </si>
  <si>
    <t>testfirm.ru, сектор 06 (добыча нефти и газа), по крупным предприятиям</t>
  </si>
  <si>
    <t xml:space="preserve">Компания абсолютно ликвидна (Кобл 5.45 при минимальном 1.14, Кмл=0.3). </t>
  </si>
  <si>
    <t>Отрицательная эк. прибыль (-412 млрд руб): ROE (17.85%) ниже стоимости капитала Ke (23.37%) — бизнес не создаёт стоимость для акционеров</t>
  </si>
  <si>
    <t>Рентабельность продаж ROS</t>
  </si>
  <si>
    <t>ROS по чистой прибыли 60% завышена прочими доходами. Операционная ROS намного меньше 12.62% - ниже средней по рынку</t>
  </si>
  <si>
    <t>Материальные запасы</t>
  </si>
  <si>
    <t xml:space="preserve">Готовая продукция </t>
  </si>
  <si>
    <t>Дебиторская зажолженость</t>
  </si>
  <si>
    <t>Авансы покупателей</t>
  </si>
  <si>
    <t>Кредиторская задолженность</t>
  </si>
  <si>
    <t xml:space="preserve">Бета levered </t>
  </si>
  <si>
    <t>Стоимость собств. Капитала</t>
  </si>
  <si>
    <t>Рентабельность собств. Капитала</t>
  </si>
  <si>
    <t>Показатели оборачиваемости: коэффициенты К1/К2, производственно-коммерческий цикл, кредитный, чистый цикл</t>
  </si>
  <si>
    <t>Показатели ликвидности: Активы/Пассивы, коэффициенты текущей/абсолютной/среднесрочной ликвидности, коэффициент покрытия, расчёт минимально допустимого Кобл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</si>
</sst>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_-;\-* #,##0_-;_-* &quot;-&quot;??_-;_-@_-"/>
    <numFmt numFmtId="165" formatCode="_-* #,##0\ &quot;₽&quot;_-;\-* #,##0\ &quot;₽&quot;_-;_-* &quot;-&quot;??\ &quot;₽&quot;_-;_-@_-"/>
    <numFmt numFmtId="166" formatCode="0.0000"/>
    <numFmt numFmtId="167" formatCode="0.000"/>
    <numFmt numFmtId="168" formatCode="0.0"/>
    <numFmt numFmtId="169" formatCode="0.0%"/>
  </numFmts>
  <fonts count="44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4"/>
      <color rgb="FF000000"/>
      <name val="Aptos"/>
      <family val="2"/>
    </font>
    <font>
      <b/>
      <sz val="13"/>
      <color rgb="FF000000"/>
      <name val="Aptos"/>
      <family val="2"/>
    </font>
    <font>
      <b/>
      <sz val="16"/>
      <color theme="1"/>
      <name val="Calibri"/>
      <family val="2"/>
      <charset val="204"/>
      <scheme val="minor"/>
    </font>
    <font>
      <b/>
      <sz val="16"/>
      <color rgb="FF000000"/>
      <name val="Aptos"/>
      <family val="2"/>
    </font>
    <font>
      <sz val="13"/>
      <color rgb="FF000000"/>
      <name val="Aptos"/>
      <family val="2"/>
    </font>
    <font>
      <b/>
      <sz val="11"/>
      <color theme="1"/>
      <name val="Calibri"/>
      <family val="2"/>
      <charset val="204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b/>
      <sz val="14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charset val="204"/>
      <scheme val="minor"/>
    </font>
    <font>
      <sz val="11"/>
      <color rgb="FF000000"/>
      <name val="&quot;Aptos Narrow&quot;"/>
    </font>
    <font>
      <sz val="10"/>
      <color theme="1"/>
      <name val="Calibri"/>
      <family val="2"/>
      <charset val="204"/>
      <scheme val="minor"/>
    </font>
    <font>
      <sz val="11"/>
      <color rgb="FF000000"/>
      <name val="Arial"/>
      <family val="2"/>
      <charset val="204"/>
    </font>
    <font>
      <b/>
      <sz val="10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0"/>
      <color rgb="FF000000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  <font>
      <b/>
      <i/>
      <sz val="10"/>
      <name val="Calibri"/>
      <family val="2"/>
      <charset val="204"/>
      <scheme val="minor"/>
    </font>
    <font>
      <i/>
      <sz val="10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rgb="FF000000"/>
      <name val="Calibri"/>
      <family val="2"/>
      <charset val="204"/>
      <scheme val="minor"/>
    </font>
    <font>
      <sz val="12"/>
      <color rgb="FFFF0000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&quot;Aptos Narrow&quot;"/>
    </font>
    <font>
      <b/>
      <u/>
      <sz val="11"/>
      <color theme="10"/>
      <name val="Calibri"/>
      <family val="2"/>
      <charset val="204"/>
      <scheme val="minor"/>
    </font>
    <font>
      <b/>
      <i/>
      <u/>
      <sz val="14"/>
      <color theme="10"/>
      <name val="Calibri"/>
      <family val="2"/>
      <charset val="204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7EAE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8DCF0"/>
        <bgColor indexed="64"/>
      </patternFill>
    </fill>
    <fill>
      <patternFill patternType="solid">
        <fgColor rgb="FFE6FAE6"/>
        <bgColor indexed="64"/>
      </patternFill>
    </fill>
    <fill>
      <patternFill patternType="solid">
        <fgColor rgb="FFFAF5DC"/>
        <bgColor indexed="64"/>
      </patternFill>
    </fill>
    <fill>
      <patternFill patternType="solid">
        <fgColor rgb="FFE6F0FF"/>
        <bgColor indexed="64"/>
      </patternFill>
    </fill>
    <fill>
      <patternFill patternType="solid">
        <fgColor rgb="FFFFF0E6"/>
        <bgColor indexed="64"/>
      </patternFill>
    </fill>
    <fill>
      <patternFill patternType="solid">
        <fgColor rgb="FFF5E6FA"/>
        <bgColor indexed="64"/>
      </patternFill>
    </fill>
    <fill>
      <patternFill patternType="solid">
        <fgColor rgb="FFFFDCDC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CE6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</fills>
  <borders count="3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156082"/>
      </top>
      <bottom style="medium">
        <color rgb="FF156082"/>
      </bottom>
      <diagonal/>
    </border>
    <border>
      <left/>
      <right/>
      <top style="medium">
        <color rgb="FF156082"/>
      </top>
      <bottom/>
      <diagonal/>
    </border>
    <border>
      <left/>
      <right/>
      <top/>
      <bottom style="medium">
        <color rgb="FF15608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/>
    <xf numFmtId="43" fontId="24" fillId="0" borderId="0" applyFont="0" applyFill="0" applyBorder="0" applyAlignment="0" applyProtection="0"/>
    <xf numFmtId="0" fontId="25" fillId="0" borderId="0" applyNumberFormat="0" applyFill="0" applyBorder="0" applyAlignment="0" applyProtection="0"/>
  </cellStyleXfs>
  <cellXfs count="23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3" fontId="3" fillId="0" borderId="5" xfId="0" applyNumberFormat="1" applyFont="1" applyBorder="1" applyAlignment="1">
      <alignment vertical="center" wrapText="1"/>
    </xf>
    <xf numFmtId="3" fontId="3" fillId="0" borderId="6" xfId="0" applyNumberFormat="1" applyFont="1" applyBorder="1" applyAlignment="1">
      <alignment horizontal="center" vertical="center" wrapText="1"/>
    </xf>
    <xf numFmtId="10" fontId="5" fillId="0" borderId="0" xfId="3" applyNumberFormat="1" applyFont="1"/>
    <xf numFmtId="3" fontId="3" fillId="2" borderId="5" xfId="0" applyNumberFormat="1" applyFont="1" applyFill="1" applyBorder="1" applyAlignment="1">
      <alignment vertical="center" wrapText="1"/>
    </xf>
    <xf numFmtId="3" fontId="3" fillId="0" borderId="0" xfId="0" applyNumberFormat="1" applyFont="1" applyAlignment="1">
      <alignment horizontal="center" vertical="center" wrapText="1"/>
    </xf>
    <xf numFmtId="3" fontId="3" fillId="0" borderId="5" xfId="0" applyNumberFormat="1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 wrapText="1"/>
    </xf>
    <xf numFmtId="3" fontId="4" fillId="0" borderId="5" xfId="0" applyNumberFormat="1" applyFont="1" applyBorder="1" applyAlignment="1">
      <alignment vertical="center" wrapText="1"/>
    </xf>
    <xf numFmtId="3" fontId="4" fillId="0" borderId="6" xfId="0" applyNumberFormat="1" applyFont="1" applyBorder="1" applyAlignment="1">
      <alignment horizontal="center" vertical="center" wrapText="1"/>
    </xf>
    <xf numFmtId="3" fontId="0" fillId="0" borderId="0" xfId="0" applyNumberFormat="1"/>
    <xf numFmtId="3" fontId="3" fillId="0" borderId="7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10" fontId="3" fillId="3" borderId="5" xfId="3" applyNumberFormat="1" applyFont="1" applyFill="1" applyBorder="1" applyAlignment="1">
      <alignment vertical="center" wrapText="1"/>
    </xf>
    <xf numFmtId="10" fontId="3" fillId="3" borderId="6" xfId="3" applyNumberFormat="1" applyFont="1" applyFill="1" applyBorder="1" applyAlignment="1">
      <alignment horizontal="center" vertical="center" wrapText="1"/>
    </xf>
    <xf numFmtId="10" fontId="4" fillId="3" borderId="5" xfId="3" applyNumberFormat="1" applyFont="1" applyFill="1" applyBorder="1" applyAlignment="1">
      <alignment vertical="center" wrapText="1"/>
    </xf>
    <xf numFmtId="10" fontId="4" fillId="3" borderId="6" xfId="3" applyNumberFormat="1" applyFont="1" applyFill="1" applyBorder="1" applyAlignment="1">
      <alignment horizontal="center" vertical="center" wrapText="1"/>
    </xf>
    <xf numFmtId="10" fontId="4" fillId="3" borderId="5" xfId="3" applyNumberFormat="1" applyFont="1" applyFill="1" applyBorder="1" applyAlignment="1">
      <alignment horizontal="center" vertical="center" wrapText="1"/>
    </xf>
    <xf numFmtId="10" fontId="4" fillId="3" borderId="6" xfId="3" applyNumberFormat="1" applyFont="1" applyFill="1" applyBorder="1" applyAlignment="1">
      <alignment vertical="center" wrapText="1"/>
    </xf>
    <xf numFmtId="0" fontId="2" fillId="0" borderId="0" xfId="0" applyFont="1"/>
    <xf numFmtId="0" fontId="0" fillId="0" borderId="8" xfId="0" applyBorder="1"/>
    <xf numFmtId="0" fontId="6" fillId="0" borderId="9" xfId="0" applyFont="1" applyBorder="1" applyAlignment="1">
      <alignment horizontal="center" vertical="center" wrapText="1" readingOrder="1"/>
    </xf>
    <xf numFmtId="0" fontId="7" fillId="0" borderId="9" xfId="0" applyFont="1" applyBorder="1" applyAlignment="1">
      <alignment horizontal="right" wrapText="1" readingOrder="1"/>
    </xf>
    <xf numFmtId="0" fontId="9" fillId="4" borderId="10" xfId="0" applyFont="1" applyFill="1" applyBorder="1" applyAlignment="1">
      <alignment horizontal="left" wrapText="1" readingOrder="1"/>
    </xf>
    <xf numFmtId="0" fontId="10" fillId="4" borderId="10" xfId="0" applyFont="1" applyFill="1" applyBorder="1" applyAlignment="1">
      <alignment horizontal="right" wrapText="1" readingOrder="1"/>
    </xf>
    <xf numFmtId="164" fontId="0" fillId="0" borderId="8" xfId="1" applyNumberFormat="1" applyFont="1" applyBorder="1"/>
    <xf numFmtId="0" fontId="10" fillId="0" borderId="0" xfId="0" applyFont="1" applyAlignment="1">
      <alignment horizontal="left" wrapText="1" readingOrder="1"/>
    </xf>
    <xf numFmtId="165" fontId="0" fillId="0" borderId="0" xfId="0" applyNumberFormat="1"/>
    <xf numFmtId="0" fontId="10" fillId="4" borderId="0" xfId="0" applyFont="1" applyFill="1" applyAlignment="1">
      <alignment horizontal="left" wrapText="1" readingOrder="1"/>
    </xf>
    <xf numFmtId="44" fontId="0" fillId="0" borderId="0" xfId="2" applyFont="1"/>
    <xf numFmtId="0" fontId="10" fillId="0" borderId="0" xfId="0" applyFont="1" applyAlignment="1">
      <alignment horizontal="right" wrapText="1" readingOrder="1"/>
    </xf>
    <xf numFmtId="3" fontId="10" fillId="0" borderId="0" xfId="0" applyNumberFormat="1" applyFont="1" applyAlignment="1">
      <alignment horizontal="right" wrapText="1" readingOrder="1"/>
    </xf>
    <xf numFmtId="0" fontId="9" fillId="4" borderId="11" xfId="0" applyFont="1" applyFill="1" applyBorder="1" applyAlignment="1">
      <alignment horizontal="left" wrapText="1" readingOrder="1"/>
    </xf>
    <xf numFmtId="0" fontId="0" fillId="5" borderId="8" xfId="0" applyFill="1" applyBorder="1"/>
    <xf numFmtId="0" fontId="8" fillId="0" borderId="0" xfId="0" applyFont="1"/>
    <xf numFmtId="0" fontId="2" fillId="5" borderId="8" xfId="0" applyFont="1" applyFill="1" applyBorder="1" applyAlignment="1">
      <alignment wrapText="1"/>
    </xf>
    <xf numFmtId="0" fontId="2" fillId="5" borderId="8" xfId="0" applyFont="1" applyFill="1" applyBorder="1"/>
    <xf numFmtId="0" fontId="0" fillId="5" borderId="8" xfId="0" applyFill="1" applyBorder="1" applyAlignment="1">
      <alignment wrapText="1"/>
    </xf>
    <xf numFmtId="167" fontId="0" fillId="5" borderId="8" xfId="0" applyNumberFormat="1" applyFill="1" applyBorder="1" applyAlignment="1">
      <alignment wrapText="1"/>
    </xf>
    <xf numFmtId="166" fontId="0" fillId="5" borderId="8" xfId="0" applyNumberFormat="1" applyFill="1" applyBorder="1"/>
    <xf numFmtId="0" fontId="11" fillId="5" borderId="8" xfId="0" applyFont="1" applyFill="1" applyBorder="1"/>
    <xf numFmtId="0" fontId="13" fillId="0" borderId="0" xfId="4" applyFont="1"/>
    <xf numFmtId="0" fontId="12" fillId="0" borderId="0" xfId="4"/>
    <xf numFmtId="0" fontId="14" fillId="0" borderId="0" xfId="0" applyFont="1"/>
    <xf numFmtId="0" fontId="2" fillId="6" borderId="0" xfId="0" applyFont="1" applyFill="1"/>
    <xf numFmtId="3" fontId="2" fillId="0" borderId="0" xfId="0" applyNumberFormat="1" applyFont="1"/>
    <xf numFmtId="0" fontId="0" fillId="7" borderId="0" xfId="0" applyFill="1"/>
    <xf numFmtId="0" fontId="0" fillId="8" borderId="0" xfId="0" applyFill="1"/>
    <xf numFmtId="0" fontId="0" fillId="9" borderId="0" xfId="0" applyFill="1"/>
    <xf numFmtId="10" fontId="0" fillId="9" borderId="0" xfId="0" applyNumberFormat="1" applyFill="1"/>
    <xf numFmtId="0" fontId="0" fillId="10" borderId="0" xfId="0" applyFill="1"/>
    <xf numFmtId="0" fontId="0" fillId="11" borderId="0" xfId="0" applyFill="1"/>
    <xf numFmtId="10" fontId="0" fillId="11" borderId="0" xfId="0" applyNumberFormat="1" applyFill="1"/>
    <xf numFmtId="0" fontId="0" fillId="12" borderId="0" xfId="0" applyFill="1"/>
    <xf numFmtId="10" fontId="0" fillId="12" borderId="0" xfId="0" applyNumberFormat="1" applyFill="1"/>
    <xf numFmtId="0" fontId="15" fillId="0" borderId="0" xfId="0" applyFont="1"/>
    <xf numFmtId="164" fontId="0" fillId="0" borderId="12" xfId="1" applyNumberFormat="1" applyFont="1" applyBorder="1"/>
    <xf numFmtId="0" fontId="0" fillId="13" borderId="17" xfId="0" applyFill="1" applyBorder="1"/>
    <xf numFmtId="0" fontId="0" fillId="14" borderId="17" xfId="0" applyFill="1" applyBorder="1"/>
    <xf numFmtId="0" fontId="16" fillId="13" borderId="16" xfId="0" applyFont="1" applyFill="1" applyBorder="1" applyAlignment="1">
      <alignment wrapText="1"/>
    </xf>
    <xf numFmtId="164" fontId="16" fillId="13" borderId="8" xfId="1" applyNumberFormat="1" applyFont="1" applyFill="1" applyBorder="1"/>
    <xf numFmtId="0" fontId="16" fillId="14" borderId="18" xfId="0" applyFont="1" applyFill="1" applyBorder="1" applyAlignment="1">
      <alignment wrapText="1"/>
    </xf>
    <xf numFmtId="164" fontId="16" fillId="14" borderId="8" xfId="1" applyNumberFormat="1" applyFont="1" applyFill="1" applyBorder="1"/>
    <xf numFmtId="0" fontId="0" fillId="13" borderId="16" xfId="0" applyFill="1" applyBorder="1" applyAlignment="1">
      <alignment wrapText="1"/>
    </xf>
    <xf numFmtId="164" fontId="0" fillId="13" borderId="8" xfId="1" applyNumberFormat="1" applyFont="1" applyFill="1" applyBorder="1"/>
    <xf numFmtId="0" fontId="0" fillId="14" borderId="18" xfId="0" applyFill="1" applyBorder="1" applyAlignment="1">
      <alignment wrapText="1"/>
    </xf>
    <xf numFmtId="0" fontId="16" fillId="14" borderId="18" xfId="0" applyFont="1" applyFill="1" applyBorder="1"/>
    <xf numFmtId="164" fontId="0" fillId="14" borderId="8" xfId="1" applyNumberFormat="1" applyFont="1" applyFill="1" applyBorder="1"/>
    <xf numFmtId="0" fontId="0" fillId="14" borderId="18" xfId="0" applyFill="1" applyBorder="1" applyAlignment="1">
      <alignment horizontal="left" vertical="center" wrapText="1"/>
    </xf>
    <xf numFmtId="0" fontId="19" fillId="0" borderId="0" xfId="4" applyFont="1"/>
    <xf numFmtId="0" fontId="21" fillId="0" borderId="0" xfId="4" applyFont="1"/>
    <xf numFmtId="0" fontId="20" fillId="0" borderId="0" xfId="4" applyFont="1"/>
    <xf numFmtId="0" fontId="12" fillId="0" borderId="13" xfId="4" applyBorder="1"/>
    <xf numFmtId="0" fontId="20" fillId="0" borderId="14" xfId="4" applyFont="1" applyBorder="1"/>
    <xf numFmtId="0" fontId="20" fillId="0" borderId="15" xfId="4" applyFont="1" applyBorder="1"/>
    <xf numFmtId="0" fontId="20" fillId="0" borderId="17" xfId="4" applyFont="1" applyBorder="1"/>
    <xf numFmtId="0" fontId="20" fillId="0" borderId="25" xfId="4" applyFont="1" applyBorder="1"/>
    <xf numFmtId="0" fontId="12" fillId="0" borderId="14" xfId="4" applyBorder="1"/>
    <xf numFmtId="3" fontId="20" fillId="0" borderId="8" xfId="4" applyNumberFormat="1" applyFont="1" applyBorder="1"/>
    <xf numFmtId="167" fontId="20" fillId="0" borderId="17" xfId="4" applyNumberFormat="1" applyFont="1" applyBorder="1"/>
    <xf numFmtId="0" fontId="12" fillId="0" borderId="25" xfId="4" applyBorder="1"/>
    <xf numFmtId="0" fontId="23" fillId="0" borderId="26" xfId="4" applyFont="1" applyBorder="1" applyAlignment="1">
      <alignment wrapText="1"/>
    </xf>
    <xf numFmtId="0" fontId="23" fillId="0" borderId="18" xfId="4" applyFont="1" applyBorder="1"/>
    <xf numFmtId="0" fontId="24" fillId="0" borderId="0" xfId="4" applyFont="1"/>
    <xf numFmtId="43" fontId="20" fillId="0" borderId="0" xfId="5" applyFont="1"/>
    <xf numFmtId="0" fontId="20" fillId="0" borderId="0" xfId="4" applyFont="1" applyAlignment="1">
      <alignment wrapText="1"/>
    </xf>
    <xf numFmtId="164" fontId="20" fillId="0" borderId="0" xfId="5" applyNumberFormat="1" applyFont="1"/>
    <xf numFmtId="164" fontId="0" fillId="0" borderId="0" xfId="1" applyNumberFormat="1" applyFont="1"/>
    <xf numFmtId="0" fontId="0" fillId="0" borderId="0" xfId="0" applyAlignment="1">
      <alignment wrapText="1"/>
    </xf>
    <xf numFmtId="0" fontId="25" fillId="0" borderId="0" xfId="6"/>
    <xf numFmtId="167" fontId="2" fillId="0" borderId="0" xfId="0" applyNumberFormat="1" applyFont="1"/>
    <xf numFmtId="0" fontId="2" fillId="0" borderId="0" xfId="0" applyFont="1" applyAlignment="1">
      <alignment wrapText="1"/>
    </xf>
    <xf numFmtId="0" fontId="3" fillId="0" borderId="6" xfId="0" applyFont="1" applyBorder="1" applyAlignment="1">
      <alignment horizontal="center" vertical="center" wrapText="1"/>
    </xf>
    <xf numFmtId="2" fontId="0" fillId="7" borderId="0" xfId="0" applyNumberFormat="1" applyFill="1"/>
    <xf numFmtId="0" fontId="26" fillId="0" borderId="0" xfId="0" applyFont="1"/>
    <xf numFmtId="10" fontId="2" fillId="5" borderId="8" xfId="3" applyNumberFormat="1" applyFont="1" applyFill="1" applyBorder="1"/>
    <xf numFmtId="0" fontId="27" fillId="6" borderId="0" xfId="0" applyFont="1" applyFill="1"/>
    <xf numFmtId="164" fontId="0" fillId="16" borderId="8" xfId="1" applyNumberFormat="1" applyFont="1" applyFill="1" applyBorder="1"/>
    <xf numFmtId="0" fontId="0" fillId="16" borderId="8" xfId="0" applyFill="1" applyBorder="1"/>
    <xf numFmtId="0" fontId="0" fillId="16" borderId="0" xfId="0" applyFill="1"/>
    <xf numFmtId="0" fontId="16" fillId="16" borderId="8" xfId="0" applyFont="1" applyFill="1" applyBorder="1" applyAlignment="1">
      <alignment wrapText="1"/>
    </xf>
    <xf numFmtId="164" fontId="16" fillId="16" borderId="8" xfId="1" applyNumberFormat="1" applyFont="1" applyFill="1" applyBorder="1"/>
    <xf numFmtId="0" fontId="0" fillId="16" borderId="8" xfId="0" applyFill="1" applyBorder="1" applyAlignment="1">
      <alignment wrapText="1"/>
    </xf>
    <xf numFmtId="10" fontId="13" fillId="0" borderId="0" xfId="4" applyNumberFormat="1" applyFont="1"/>
    <xf numFmtId="0" fontId="28" fillId="0" borderId="0" xfId="0" applyFont="1"/>
    <xf numFmtId="0" fontId="2" fillId="17" borderId="0" xfId="0" applyFont="1" applyFill="1"/>
    <xf numFmtId="0" fontId="22" fillId="0" borderId="0" xfId="4" applyFont="1" applyAlignment="1">
      <alignment horizontal="right"/>
    </xf>
    <xf numFmtId="0" fontId="29" fillId="0" borderId="0" xfId="4" applyFont="1" applyAlignment="1">
      <alignment horizontal="right"/>
    </xf>
    <xf numFmtId="3" fontId="13" fillId="0" borderId="0" xfId="4" applyNumberFormat="1" applyFont="1"/>
    <xf numFmtId="167" fontId="13" fillId="0" borderId="0" xfId="4" applyNumberFormat="1" applyFont="1"/>
    <xf numFmtId="167" fontId="12" fillId="0" borderId="0" xfId="4" applyNumberFormat="1"/>
    <xf numFmtId="0" fontId="32" fillId="0" borderId="0" xfId="4" applyFont="1"/>
    <xf numFmtId="0" fontId="29" fillId="0" borderId="0" xfId="4" applyFont="1"/>
    <xf numFmtId="0" fontId="22" fillId="0" borderId="0" xfId="0" applyFont="1"/>
    <xf numFmtId="3" fontId="30" fillId="0" borderId="0" xfId="4" applyNumberFormat="1" applyFont="1"/>
    <xf numFmtId="2" fontId="31" fillId="0" borderId="0" xfId="4" applyNumberFormat="1" applyFont="1"/>
    <xf numFmtId="10" fontId="13" fillId="0" borderId="0" xfId="3" applyNumberFormat="1" applyFont="1" applyFill="1"/>
    <xf numFmtId="2" fontId="2" fillId="0" borderId="0" xfId="0" applyNumberFormat="1" applyFont="1"/>
    <xf numFmtId="168" fontId="2" fillId="0" borderId="0" xfId="0" applyNumberFormat="1" applyFont="1"/>
    <xf numFmtId="0" fontId="28" fillId="15" borderId="8" xfId="0" applyFont="1" applyFill="1" applyBorder="1"/>
    <xf numFmtId="2" fontId="28" fillId="15" borderId="8" xfId="0" applyNumberFormat="1" applyFont="1" applyFill="1" applyBorder="1"/>
    <xf numFmtId="2" fontId="16" fillId="13" borderId="17" xfId="0" applyNumberFormat="1" applyFont="1" applyFill="1" applyBorder="1"/>
    <xf numFmtId="2" fontId="0" fillId="13" borderId="17" xfId="0" applyNumberFormat="1" applyFill="1" applyBorder="1"/>
    <xf numFmtId="2" fontId="16" fillId="14" borderId="17" xfId="0" applyNumberFormat="1" applyFont="1" applyFill="1" applyBorder="1"/>
    <xf numFmtId="2" fontId="0" fillId="14" borderId="17" xfId="0" applyNumberFormat="1" applyFill="1" applyBorder="1"/>
    <xf numFmtId="0" fontId="14" fillId="18" borderId="0" xfId="0" applyFont="1" applyFill="1"/>
    <xf numFmtId="0" fontId="0" fillId="18" borderId="0" xfId="0" applyFill="1"/>
    <xf numFmtId="0" fontId="8" fillId="18" borderId="0" xfId="0" applyFont="1" applyFill="1"/>
    <xf numFmtId="0" fontId="22" fillId="18" borderId="0" xfId="4" applyFont="1" applyFill="1"/>
    <xf numFmtId="0" fontId="3" fillId="16" borderId="27" xfId="0" applyFont="1" applyFill="1" applyBorder="1" applyAlignment="1">
      <alignment horizontal="center" vertical="center" wrapText="1"/>
    </xf>
    <xf numFmtId="3" fontId="3" fillId="16" borderId="27" xfId="0" applyNumberFormat="1" applyFont="1" applyFill="1" applyBorder="1" applyAlignment="1">
      <alignment horizontal="center" vertical="center" wrapText="1"/>
    </xf>
    <xf numFmtId="3" fontId="3" fillId="0" borderId="27" xfId="0" applyNumberFormat="1" applyFont="1" applyBorder="1" applyAlignment="1">
      <alignment horizontal="center" vertical="center" wrapText="1"/>
    </xf>
    <xf numFmtId="10" fontId="34" fillId="16" borderId="27" xfId="3" applyNumberFormat="1" applyFont="1" applyFill="1" applyBorder="1"/>
    <xf numFmtId="10" fontId="34" fillId="0" borderId="27" xfId="3" applyNumberFormat="1" applyFont="1" applyFill="1" applyBorder="1"/>
    <xf numFmtId="10" fontId="34" fillId="16" borderId="27" xfId="3" applyNumberFormat="1" applyFont="1" applyFill="1" applyBorder="1" applyAlignment="1">
      <alignment horizontal="center"/>
    </xf>
    <xf numFmtId="0" fontId="33" fillId="0" borderId="0" xfId="0" applyFont="1"/>
    <xf numFmtId="3" fontId="33" fillId="0" borderId="0" xfId="0" applyNumberFormat="1" applyFont="1"/>
    <xf numFmtId="3" fontId="4" fillId="16" borderId="27" xfId="0" applyNumberFormat="1" applyFont="1" applyFill="1" applyBorder="1" applyAlignment="1">
      <alignment horizontal="center" vertical="center" wrapText="1"/>
    </xf>
    <xf numFmtId="10" fontId="35" fillId="16" borderId="27" xfId="3" applyNumberFormat="1" applyFont="1" applyFill="1" applyBorder="1"/>
    <xf numFmtId="167" fontId="22" fillId="0" borderId="8" xfId="4" applyNumberFormat="1" applyFont="1" applyBorder="1"/>
    <xf numFmtId="168" fontId="22" fillId="0" borderId="24" xfId="4" applyNumberFormat="1" applyFont="1" applyBorder="1"/>
    <xf numFmtId="2" fontId="22" fillId="0" borderId="24" xfId="4" applyNumberFormat="1" applyFont="1" applyBorder="1"/>
    <xf numFmtId="0" fontId="22" fillId="0" borderId="16" xfId="4" applyFont="1" applyBorder="1" applyAlignment="1">
      <alignment wrapText="1"/>
    </xf>
    <xf numFmtId="0" fontId="22" fillId="0" borderId="23" xfId="4" applyFont="1" applyBorder="1" applyAlignment="1">
      <alignment wrapText="1"/>
    </xf>
    <xf numFmtId="0" fontId="20" fillId="16" borderId="16" xfId="4" applyFont="1" applyFill="1" applyBorder="1"/>
    <xf numFmtId="0" fontId="20" fillId="16" borderId="16" xfId="4" applyFont="1" applyFill="1" applyBorder="1" applyAlignment="1">
      <alignment wrapText="1"/>
    </xf>
    <xf numFmtId="0" fontId="36" fillId="0" borderId="0" xfId="4" applyFont="1"/>
    <xf numFmtId="0" fontId="28" fillId="0" borderId="0" xfId="4" applyFont="1" applyAlignment="1">
      <alignment horizontal="center" vertical="center" wrapText="1"/>
    </xf>
    <xf numFmtId="2" fontId="28" fillId="0" borderId="0" xfId="4" applyNumberFormat="1" applyFont="1" applyAlignment="1">
      <alignment horizontal="center" vertical="center"/>
    </xf>
    <xf numFmtId="0" fontId="0" fillId="16" borderId="8" xfId="0" applyFill="1" applyBorder="1" applyAlignment="1">
      <alignment horizontal="center" vertical="center"/>
    </xf>
    <xf numFmtId="164" fontId="0" fillId="16" borderId="8" xfId="1" applyNumberFormat="1" applyFont="1" applyFill="1" applyBorder="1" applyAlignment="1">
      <alignment horizontal="center" vertical="center"/>
    </xf>
    <xf numFmtId="0" fontId="28" fillId="18" borderId="0" xfId="0" applyFont="1" applyFill="1" applyAlignment="1">
      <alignment wrapText="1"/>
    </xf>
    <xf numFmtId="0" fontId="2" fillId="0" borderId="0" xfId="0" applyFont="1" applyAlignment="1">
      <alignment horizontal="left" vertical="center" wrapText="1"/>
    </xf>
    <xf numFmtId="167" fontId="28" fillId="0" borderId="0" xfId="0" applyNumberFormat="1" applyFont="1" applyAlignment="1">
      <alignment horizontal="center" vertical="center"/>
    </xf>
    <xf numFmtId="3" fontId="4" fillId="3" borderId="6" xfId="0" applyNumberFormat="1" applyFont="1" applyFill="1" applyBorder="1" applyAlignment="1">
      <alignment horizontal="center" vertical="center" wrapText="1"/>
    </xf>
    <xf numFmtId="3" fontId="3" fillId="3" borderId="6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0" fontId="4" fillId="20" borderId="5" xfId="3" applyNumberFormat="1" applyFont="1" applyFill="1" applyBorder="1" applyAlignment="1">
      <alignment vertical="center" wrapText="1"/>
    </xf>
    <xf numFmtId="10" fontId="3" fillId="20" borderId="5" xfId="3" applyNumberFormat="1" applyFont="1" applyFill="1" applyBorder="1" applyAlignment="1">
      <alignment vertical="center" wrapText="1"/>
    </xf>
    <xf numFmtId="3" fontId="37" fillId="3" borderId="6" xfId="0" applyNumberFormat="1" applyFont="1" applyFill="1" applyBorder="1" applyAlignment="1">
      <alignment horizontal="center" vertical="center" wrapText="1"/>
    </xf>
    <xf numFmtId="3" fontId="4" fillId="5" borderId="5" xfId="0" applyNumberFormat="1" applyFont="1" applyFill="1" applyBorder="1" applyAlignment="1">
      <alignment vertical="center" wrapText="1"/>
    </xf>
    <xf numFmtId="3" fontId="4" fillId="5" borderId="6" xfId="0" applyNumberFormat="1" applyFont="1" applyFill="1" applyBorder="1" applyAlignment="1">
      <alignment horizontal="center" vertical="center" wrapText="1"/>
    </xf>
    <xf numFmtId="0" fontId="0" fillId="13" borderId="28" xfId="0" applyFill="1" applyBorder="1"/>
    <xf numFmtId="0" fontId="38" fillId="13" borderId="29" xfId="0" applyFont="1" applyFill="1" applyBorder="1"/>
    <xf numFmtId="0" fontId="18" fillId="13" borderId="30" xfId="0" applyFont="1" applyFill="1" applyBorder="1" applyAlignment="1">
      <alignment wrapText="1"/>
    </xf>
    <xf numFmtId="0" fontId="0" fillId="14" borderId="31" xfId="0" applyFill="1" applyBorder="1"/>
    <xf numFmtId="0" fontId="38" fillId="14" borderId="29" xfId="0" applyFont="1" applyFill="1" applyBorder="1" applyAlignment="1">
      <alignment wrapText="1"/>
    </xf>
    <xf numFmtId="0" fontId="38" fillId="14" borderId="30" xfId="0" applyFont="1" applyFill="1" applyBorder="1" applyAlignment="1">
      <alignment wrapText="1"/>
    </xf>
    <xf numFmtId="0" fontId="39" fillId="5" borderId="19" xfId="0" applyFont="1" applyFill="1" applyBorder="1" applyAlignment="1">
      <alignment horizontal="center" vertical="center"/>
    </xf>
    <xf numFmtId="0" fontId="40" fillId="5" borderId="19" xfId="0" applyFont="1" applyFill="1" applyBorder="1" applyAlignment="1">
      <alignment horizontal="center" vertical="center"/>
    </xf>
    <xf numFmtId="2" fontId="39" fillId="5" borderId="20" xfId="0" applyNumberFormat="1" applyFont="1" applyFill="1" applyBorder="1" applyAlignment="1">
      <alignment horizontal="center" vertical="center"/>
    </xf>
    <xf numFmtId="0" fontId="39" fillId="5" borderId="21" xfId="0" applyFont="1" applyFill="1" applyBorder="1"/>
    <xf numFmtId="0" fontId="40" fillId="5" borderId="19" xfId="0" applyFont="1" applyFill="1" applyBorder="1"/>
    <xf numFmtId="2" fontId="39" fillId="5" borderId="20" xfId="0" applyNumberFormat="1" applyFont="1" applyFill="1" applyBorder="1"/>
    <xf numFmtId="0" fontId="5" fillId="0" borderId="8" xfId="0" applyFont="1" applyBorder="1" applyAlignment="1">
      <alignment wrapText="1"/>
    </xf>
    <xf numFmtId="0" fontId="0" fillId="0" borderId="8" xfId="0" applyBorder="1" applyAlignment="1">
      <alignment horizontal="center" vertical="center"/>
    </xf>
    <xf numFmtId="2" fontId="2" fillId="0" borderId="8" xfId="0" applyNumberFormat="1" applyFont="1" applyBorder="1"/>
    <xf numFmtId="167" fontId="2" fillId="0" borderId="8" xfId="3" applyNumberFormat="1" applyFont="1" applyBorder="1"/>
    <xf numFmtId="0" fontId="41" fillId="16" borderId="22" xfId="4" applyFont="1" applyFill="1" applyBorder="1" applyAlignment="1">
      <alignment horizontal="center" vertical="center"/>
    </xf>
    <xf numFmtId="3" fontId="5" fillId="0" borderId="22" xfId="4" applyNumberFormat="1" applyFont="1" applyBorder="1" applyAlignment="1">
      <alignment horizontal="center" vertical="center"/>
    </xf>
    <xf numFmtId="0" fontId="8" fillId="0" borderId="0" xfId="4" applyFont="1" applyAlignment="1">
      <alignment horizontal="center" vertical="center"/>
    </xf>
    <xf numFmtId="3" fontId="5" fillId="0" borderId="22" xfId="4" applyNumberFormat="1" applyFont="1" applyBorder="1"/>
    <xf numFmtId="0" fontId="42" fillId="0" borderId="0" xfId="6" applyFont="1"/>
    <xf numFmtId="0" fontId="43" fillId="0" borderId="0" xfId="6" applyFont="1"/>
    <xf numFmtId="0" fontId="0" fillId="23" borderId="0" xfId="0" applyFill="1"/>
    <xf numFmtId="0" fontId="0" fillId="22" borderId="0" xfId="0" applyFill="1"/>
    <xf numFmtId="0" fontId="0" fillId="19" borderId="0" xfId="0" applyFill="1"/>
    <xf numFmtId="169" fontId="2" fillId="5" borderId="8" xfId="3" applyNumberFormat="1" applyFont="1" applyFill="1" applyBorder="1"/>
    <xf numFmtId="2" fontId="0" fillId="10" borderId="0" xfId="0" applyNumberFormat="1" applyFill="1"/>
    <xf numFmtId="10" fontId="0" fillId="9" borderId="0" xfId="0" applyNumberFormat="1" applyFill="1" applyAlignment="1">
      <alignment horizontal="right"/>
    </xf>
    <xf numFmtId="10" fontId="1" fillId="5" borderId="8" xfId="3" applyNumberFormat="1" applyFont="1" applyFill="1" applyBorder="1"/>
    <xf numFmtId="169" fontId="1" fillId="5" borderId="8" xfId="3" applyNumberFormat="1" applyFont="1" applyFill="1" applyBorder="1" applyAlignment="1">
      <alignment horizontal="right"/>
    </xf>
    <xf numFmtId="169" fontId="0" fillId="9" borderId="0" xfId="3" applyNumberFormat="1" applyFont="1" applyFill="1"/>
    <xf numFmtId="10" fontId="0" fillId="5" borderId="8" xfId="3" applyNumberFormat="1" applyFont="1" applyFill="1" applyBorder="1" applyAlignment="1">
      <alignment wrapText="1"/>
    </xf>
    <xf numFmtId="10" fontId="2" fillId="5" borderId="8" xfId="3" applyNumberFormat="1" applyFont="1" applyFill="1" applyBorder="1" applyAlignment="1">
      <alignment wrapText="1"/>
    </xf>
    <xf numFmtId="169" fontId="0" fillId="0" borderId="0" xfId="3" applyNumberFormat="1" applyFont="1"/>
    <xf numFmtId="10" fontId="4" fillId="3" borderId="3" xfId="3" applyNumberFormat="1" applyFont="1" applyFill="1" applyBorder="1" applyAlignment="1">
      <alignment vertical="center" wrapText="1"/>
    </xf>
    <xf numFmtId="10" fontId="4" fillId="3" borderId="4" xfId="3" applyNumberFormat="1" applyFont="1" applyFill="1" applyBorder="1" applyAlignment="1">
      <alignment vertical="center" wrapText="1"/>
    </xf>
    <xf numFmtId="10" fontId="4" fillId="3" borderId="2" xfId="3" applyNumberFormat="1" applyFont="1" applyFill="1" applyBorder="1" applyAlignment="1">
      <alignment vertical="center" wrapText="1"/>
    </xf>
    <xf numFmtId="3" fontId="4" fillId="0" borderId="3" xfId="0" applyNumberFormat="1" applyFont="1" applyBorder="1" applyAlignment="1">
      <alignment vertical="center" wrapText="1"/>
    </xf>
    <xf numFmtId="3" fontId="4" fillId="0" borderId="4" xfId="0" applyNumberFormat="1" applyFont="1" applyBorder="1" applyAlignment="1">
      <alignment vertical="center" wrapText="1"/>
    </xf>
    <xf numFmtId="3" fontId="4" fillId="0" borderId="2" xfId="0" applyNumberFormat="1" applyFont="1" applyBorder="1" applyAlignment="1">
      <alignment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10" fontId="4" fillId="3" borderId="3" xfId="3" applyNumberFormat="1" applyFont="1" applyFill="1" applyBorder="1" applyAlignment="1">
      <alignment horizontal="center" vertical="center" wrapText="1"/>
    </xf>
    <xf numFmtId="10" fontId="4" fillId="3" borderId="4" xfId="3" applyNumberFormat="1" applyFont="1" applyFill="1" applyBorder="1" applyAlignment="1">
      <alignment horizontal="center" vertical="center" wrapText="1"/>
    </xf>
    <xf numFmtId="10" fontId="4" fillId="3" borderId="2" xfId="3" applyNumberFormat="1" applyFont="1" applyFill="1" applyBorder="1" applyAlignment="1">
      <alignment horizontal="center" vertical="center" wrapText="1"/>
    </xf>
    <xf numFmtId="3" fontId="4" fillId="22" borderId="3" xfId="0" applyNumberFormat="1" applyFont="1" applyFill="1" applyBorder="1" applyAlignment="1">
      <alignment vertical="center" wrapText="1"/>
    </xf>
    <xf numFmtId="3" fontId="4" fillId="22" borderId="4" xfId="0" applyNumberFormat="1" applyFont="1" applyFill="1" applyBorder="1" applyAlignment="1">
      <alignment vertical="center" wrapText="1"/>
    </xf>
    <xf numFmtId="3" fontId="4" fillId="22" borderId="2" xfId="0" applyNumberFormat="1" applyFont="1" applyFill="1" applyBorder="1" applyAlignment="1">
      <alignment vertical="center" wrapText="1"/>
    </xf>
    <xf numFmtId="0" fontId="4" fillId="21" borderId="3" xfId="0" applyFont="1" applyFill="1" applyBorder="1" applyAlignment="1">
      <alignment horizontal="center" vertical="center" wrapText="1"/>
    </xf>
    <xf numFmtId="0" fontId="4" fillId="21" borderId="4" xfId="0" applyFont="1" applyFill="1" applyBorder="1" applyAlignment="1">
      <alignment horizontal="center" vertical="center" wrapText="1"/>
    </xf>
    <xf numFmtId="0" fontId="4" fillId="21" borderId="2" xfId="0" applyFont="1" applyFill="1" applyBorder="1" applyAlignment="1">
      <alignment horizontal="center" vertical="center" wrapText="1"/>
    </xf>
    <xf numFmtId="0" fontId="4" fillId="22" borderId="3" xfId="0" applyFont="1" applyFill="1" applyBorder="1" applyAlignment="1">
      <alignment vertical="center" wrapText="1"/>
    </xf>
    <xf numFmtId="0" fontId="4" fillId="22" borderId="4" xfId="0" applyFont="1" applyFill="1" applyBorder="1" applyAlignment="1">
      <alignment vertical="center" wrapText="1"/>
    </xf>
    <xf numFmtId="0" fontId="4" fillId="22" borderId="2" xfId="0" applyFont="1" applyFill="1" applyBorder="1" applyAlignment="1">
      <alignment vertical="center" wrapText="1"/>
    </xf>
    <xf numFmtId="3" fontId="4" fillId="21" borderId="3" xfId="0" applyNumberFormat="1" applyFont="1" applyFill="1" applyBorder="1" applyAlignment="1">
      <alignment horizontal="center" vertical="center" wrapText="1"/>
    </xf>
    <xf numFmtId="3" fontId="4" fillId="21" borderId="4" xfId="0" applyNumberFormat="1" applyFont="1" applyFill="1" applyBorder="1" applyAlignment="1">
      <alignment horizontal="center" vertical="center" wrapText="1"/>
    </xf>
    <xf numFmtId="3" fontId="4" fillId="21" borderId="2" xfId="0" applyNumberFormat="1" applyFont="1" applyFill="1" applyBorder="1" applyAlignment="1">
      <alignment horizontal="center" vertical="center" wrapText="1"/>
    </xf>
    <xf numFmtId="0" fontId="17" fillId="13" borderId="17" xfId="0" applyFont="1" applyFill="1" applyBorder="1" applyAlignment="1">
      <alignment horizontal="center" vertical="center" wrapText="1"/>
    </xf>
    <xf numFmtId="0" fontId="17" fillId="13" borderId="32" xfId="0" applyFont="1" applyFill="1" applyBorder="1" applyAlignment="1">
      <alignment horizontal="center" vertical="center" wrapText="1"/>
    </xf>
    <xf numFmtId="0" fontId="17" fillId="14" borderId="32" xfId="0" applyFont="1" applyFill="1" applyBorder="1" applyAlignment="1">
      <alignment horizontal="center" vertical="center" wrapText="1"/>
    </xf>
    <xf numFmtId="0" fontId="17" fillId="14" borderId="16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3" fontId="4" fillId="0" borderId="3" xfId="0" applyNumberFormat="1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</cellXfs>
  <cellStyles count="7">
    <cellStyle name="Гиперссылка" xfId="6" builtinId="8"/>
    <cellStyle name="Денежный" xfId="2" builtinId="4"/>
    <cellStyle name="Обычный" xfId="0" builtinId="0"/>
    <cellStyle name="Обычный 2" xfId="4" xr:uid="{3B2A175C-16BA-45A2-9067-40173560D4EB}"/>
    <cellStyle name="Процентный" xfId="3" builtinId="5"/>
    <cellStyle name="Финансовый" xfId="1" builtinId="3"/>
    <cellStyle name="Финансовый 2" xfId="5" xr:uid="{FFDE797A-1758-448A-8580-33C6AB7198C9}"/>
  </cellStyles>
  <dxfs count="7">
    <dxf>
      <fill>
        <patternFill patternType="solid">
          <fgColor indexed="64"/>
          <bgColor rgb="FFF5E6FA"/>
        </patternFill>
      </fill>
    </dxf>
    <dxf>
      <fill>
        <patternFill patternType="solid">
          <fgColor indexed="64"/>
          <bgColor rgb="FFF5E6FA"/>
        </patternFill>
      </fill>
    </dxf>
    <dxf>
      <fill>
        <patternFill patternType="solid">
          <fgColor indexed="64"/>
          <bgColor rgb="FFF5E6FA"/>
        </patternFill>
      </fill>
    </dxf>
    <dxf>
      <fill>
        <patternFill patternType="solid">
          <fgColor indexed="64"/>
          <bgColor rgb="FFF5E6FA"/>
        </patternFill>
      </fill>
    </dxf>
    <dxf>
      <fill>
        <patternFill patternType="solid">
          <fgColor indexed="64"/>
          <bgColor rgb="FFF5E6FA"/>
        </patternFill>
      </fill>
    </dxf>
    <dxf>
      <fill>
        <patternFill patternType="solid">
          <fgColor indexed="64"/>
          <bgColor rgb="FFF5E6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fill>
        <patternFill patternType="solid">
          <fgColor indexed="64"/>
          <bgColor rgb="FFC8DC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/>
              <a:t>Структура</a:t>
            </a:r>
            <a:r>
              <a:rPr lang="ru-RU" sz="1800" b="1" baseline="0"/>
              <a:t> активов в 2023</a:t>
            </a:r>
            <a:endParaRPr lang="ru-RU" sz="1800" b="1"/>
          </a:p>
        </c:rich>
      </c:tx>
      <c:layout>
        <c:manualLayout>
          <c:xMode val="edge"/>
          <c:yMode val="edge"/>
          <c:x val="0.37685480112465453"/>
          <c:y val="3.1955513898761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37937308655932511"/>
          <c:y val="0.15291443093394397"/>
          <c:w val="0.55448162331422779"/>
          <c:h val="0.7332270665718905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(Баланс!$A$43:$A$47,Баланс!$A$51:$A$57)</c:f>
              <c:strCache>
                <c:ptCount val="12"/>
                <c:pt idx="0">
                  <c:v>Нематериальные активы</c:v>
                </c:pt>
                <c:pt idx="1">
                  <c:v>Основные средства</c:v>
                </c:pt>
                <c:pt idx="2">
                  <c:v>Незавершенные капитальные вложения</c:v>
                </c:pt>
                <c:pt idx="3">
                  <c:v>Долгосрочные финансовые вложения</c:v>
                </c:pt>
                <c:pt idx="4">
                  <c:v>Прочие внеоборотные активы</c:v>
                </c:pt>
                <c:pt idx="5">
                  <c:v>Авансы поставщикам</c:v>
                </c:pt>
                <c:pt idx="6">
                  <c:v>Сырье и материалы</c:v>
                </c:pt>
                <c:pt idx="7">
                  <c:v>Незавершенное производство</c:v>
                </c:pt>
                <c:pt idx="8">
                  <c:v>Готовая продукция и товары</c:v>
                </c:pt>
                <c:pt idx="9">
                  <c:v>Дебиторская задолженность</c:v>
                </c:pt>
                <c:pt idx="10">
                  <c:v>Денежные средства и денежные эквиваленты</c:v>
                </c:pt>
                <c:pt idx="11">
                  <c:v>Прочие оборотные активы</c:v>
                </c:pt>
              </c:strCache>
            </c:strRef>
          </c:cat>
          <c:val>
            <c:numRef>
              <c:f>(Баланс!$B$43:$B$47,Баланс!$B$51:$B$57)</c:f>
              <c:numCache>
                <c:formatCode>0.00%</c:formatCode>
                <c:ptCount val="12"/>
                <c:pt idx="0">
                  <c:v>1.8928883825611774E-2</c:v>
                </c:pt>
                <c:pt idx="1">
                  <c:v>0.26899342011055366</c:v>
                </c:pt>
                <c:pt idx="2">
                  <c:v>1.5539110776070637E-2</c:v>
                </c:pt>
                <c:pt idx="3">
                  <c:v>0.66418956523183192</c:v>
                </c:pt>
                <c:pt idx="4">
                  <c:v>3.234902005593196E-2</c:v>
                </c:pt>
                <c:pt idx="5">
                  <c:v>3.1676222626894307E-3</c:v>
                </c:pt>
                <c:pt idx="6">
                  <c:v>3.9050027175663603E-2</c:v>
                </c:pt>
                <c:pt idx="7">
                  <c:v>6.7392788835419441E-3</c:v>
                </c:pt>
                <c:pt idx="8">
                  <c:v>1.5745978699864358E-2</c:v>
                </c:pt>
                <c:pt idx="9">
                  <c:v>0.1360557775575679</c:v>
                </c:pt>
                <c:pt idx="10">
                  <c:v>5.7321517357902231E-2</c:v>
                </c:pt>
                <c:pt idx="11">
                  <c:v>0.74191979806277053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A3-4C5C-AFEB-7862A6347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1398080"/>
        <c:axId val="621399520"/>
      </c:barChart>
      <c:valAx>
        <c:axId val="62139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1398080"/>
        <c:crosses val="autoZero"/>
        <c:crossBetween val="between"/>
      </c:valAx>
      <c:catAx>
        <c:axId val="6213980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13995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/>
              <a:t>Структура</a:t>
            </a:r>
            <a:r>
              <a:rPr lang="ru-RU" sz="1800" b="1" baseline="0"/>
              <a:t> пассивов в 2023</a:t>
            </a:r>
            <a:endParaRPr lang="ru-RU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42087430522032027"/>
          <c:y val="8.2493644541240599E-2"/>
          <c:w val="0.54083385558922648"/>
          <c:h val="0.8597082828667760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6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(Баланс!$A$63:$A$64,Баланс!$A$68,Баланс!$A$71:$A$76)</c:f>
              <c:strCache>
                <c:ptCount val="9"/>
                <c:pt idx="0">
                  <c:v>Уставный капитал </c:v>
                </c:pt>
                <c:pt idx="1">
                  <c:v>Накопленный капитал</c:v>
                </c:pt>
                <c:pt idx="2">
                  <c:v>Долгосрочные обязательства</c:v>
                </c:pt>
                <c:pt idx="3">
                  <c:v>Кредиторская задолженность (счета к оплате) </c:v>
                </c:pt>
                <c:pt idx="4">
                  <c:v>Авансы полученные</c:v>
                </c:pt>
                <c:pt idx="5">
                  <c:v>Расчеты с бюджетом и внебюджетными фондами</c:v>
                </c:pt>
                <c:pt idx="6">
                  <c:v>Расчеты по заработной плате</c:v>
                </c:pt>
                <c:pt idx="7">
                  <c:v>Прочие краткосрочные обязательства</c:v>
                </c:pt>
                <c:pt idx="8">
                  <c:v>Итого краткосрочных обязательств</c:v>
                </c:pt>
              </c:strCache>
            </c:strRef>
          </c:cat>
          <c:val>
            <c:numRef>
              <c:f>(Баланс!$B$63:$B$64,Баланс!$B$68,Баланс!$B$71:$B$76)</c:f>
              <c:numCache>
                <c:formatCode>0.00%</c:formatCode>
                <c:ptCount val="9"/>
                <c:pt idx="0">
                  <c:v>7.4008822828181983E-2</c:v>
                </c:pt>
                <c:pt idx="1">
                  <c:v>0.925991177171818</c:v>
                </c:pt>
                <c:pt idx="2">
                  <c:v>0.52704819043481554</c:v>
                </c:pt>
                <c:pt idx="3">
                  <c:v>7.0254046178084117E-2</c:v>
                </c:pt>
                <c:pt idx="4">
                  <c:v>0.18755879932745667</c:v>
                </c:pt>
                <c:pt idx="5">
                  <c:v>0.58357694358595202</c:v>
                </c:pt>
                <c:pt idx="7">
                  <c:v>0.15861021090850713</c:v>
                </c:pt>
                <c:pt idx="8">
                  <c:v>0.4729518095651844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BD-4494-A815-3CFFB50D69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621406000"/>
        <c:axId val="621402760"/>
      </c:barChart>
      <c:catAx>
        <c:axId val="6214060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1402760"/>
        <c:crosses val="autoZero"/>
        <c:auto val="1"/>
        <c:lblAlgn val="l"/>
        <c:lblOffset val="100"/>
        <c:noMultiLvlLbl val="0"/>
      </c:catAx>
      <c:valAx>
        <c:axId val="621402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1406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ПОД,</a:t>
            </a:r>
            <a:r>
              <a:rPr lang="ru-RU" baseline="0"/>
              <a:t> Чистая прибыль (в тыс. руб)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ОФР!$A$8</c:f>
              <c:strCache>
                <c:ptCount val="1"/>
                <c:pt idx="0">
                  <c:v>Прибыль от продаж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2"/>
              <c:pt idx="0">
                <c:v>2023</c:v>
              </c:pt>
              <c:pt idx="1">
                <c:v>2022</c:v>
              </c:pt>
            </c:numLit>
          </c:cat>
          <c:val>
            <c:numRef>
              <c:f>ОФР!$B$8:$C$8</c:f>
              <c:numCache>
                <c:formatCode>#,##0</c:formatCode>
                <c:ptCount val="2"/>
                <c:pt idx="0">
                  <c:v>373402094</c:v>
                </c:pt>
                <c:pt idx="1">
                  <c:v>523963169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67-4A21-9A73-C178C26CE601}"/>
            </c:ext>
          </c:extLst>
        </c:ser>
        <c:ser>
          <c:idx val="1"/>
          <c:order val="1"/>
          <c:tx>
            <c:strRef>
              <c:f>ОФР!$A$16</c:f>
              <c:strCache>
                <c:ptCount val="1"/>
                <c:pt idx="0">
                  <c:v>Чистая прибыль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2"/>
              <c:pt idx="0">
                <c:v>2023</c:v>
              </c:pt>
              <c:pt idx="1">
                <c:v>2022</c:v>
              </c:pt>
            </c:numLit>
          </c:cat>
          <c:val>
            <c:numRef>
              <c:f>ОФР!$B$16:$C$16</c:f>
              <c:numCache>
                <c:formatCode>#,##0</c:formatCode>
                <c:ptCount val="2"/>
                <c:pt idx="0">
                  <c:v>1334377318</c:v>
                </c:pt>
                <c:pt idx="1">
                  <c:v>60018212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67-4A21-9A73-C178C26CE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1842320"/>
        <c:axId val="571841600"/>
      </c:barChart>
      <c:catAx>
        <c:axId val="57184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1841600"/>
        <c:crosses val="autoZero"/>
        <c:auto val="1"/>
        <c:lblAlgn val="ctr"/>
        <c:lblOffset val="100"/>
        <c:noMultiLvlLbl val="0"/>
      </c:catAx>
      <c:valAx>
        <c:axId val="57184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184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2000" b="1"/>
              <a:t>ПКЦ</a:t>
            </a:r>
            <a:r>
              <a:rPr lang="ru-RU" sz="2000" b="1" baseline="0"/>
              <a:t> ( в днях)</a:t>
            </a:r>
            <a:endParaRPr lang="ru-RU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9.9410764013441094E-2"/>
          <c:y val="0.1967885023850216"/>
          <c:w val="0.39983618744276928"/>
          <c:h val="0.66751358648093784"/>
        </c:manualLayout>
      </c:layout>
      <c:pieChart>
        <c:varyColors val="1"/>
        <c:ser>
          <c:idx val="0"/>
          <c:order val="0"/>
          <c:explosion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ABA-4901-8AB7-D18C29D363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ABA-4901-8AB7-D18C29D363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ABA-4901-8AB7-D18C29D3634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ABA-4901-8AB7-D18C29D3634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3C1-470A-8798-71DC577F2D55}"/>
              </c:ext>
            </c:extLst>
          </c:dPt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(Обор!$A$18,Обор!$A$21,Обор!$A$24,Обор!$A$27,Обор!$A$30)</c:f>
              <c:strCache>
                <c:ptCount val="5"/>
                <c:pt idx="0">
                  <c:v>Авансы поставщикам</c:v>
                </c:pt>
                <c:pt idx="1">
                  <c:v>Материальные запасы</c:v>
                </c:pt>
                <c:pt idx="2">
                  <c:v>Незавершенное производство</c:v>
                </c:pt>
                <c:pt idx="3">
                  <c:v>Готовая продукция </c:v>
                </c:pt>
                <c:pt idx="4">
                  <c:v>Дебиторская зажолженость</c:v>
                </c:pt>
              </c:strCache>
            </c:strRef>
          </c:cat>
          <c:val>
            <c:numRef>
              <c:f>(Обор!$C$18,Обор!$C$21,Обор!$C$24,Обор!$C$27,Обор!$C$30)</c:f>
              <c:numCache>
                <c:formatCode>0.00</c:formatCode>
                <c:ptCount val="5"/>
                <c:pt idx="0">
                  <c:v>1.333044267228976</c:v>
                </c:pt>
                <c:pt idx="1">
                  <c:v>15.926831203902966</c:v>
                </c:pt>
                <c:pt idx="2">
                  <c:v>2.4354963105113216</c:v>
                </c:pt>
                <c:pt idx="3">
                  <c:v>5.7023453579667382</c:v>
                </c:pt>
                <c:pt idx="4">
                  <c:v>58.265829919081675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C1-470A-8798-71DC577F2D5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6594822812152035"/>
          <c:y val="0.15883995067116938"/>
          <c:w val="0.3890765496292643"/>
          <c:h val="0.74774268856331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/>
              <a:t>КЦ (в днях)</a:t>
            </a:r>
          </a:p>
        </c:rich>
      </c:tx>
      <c:layout>
        <c:manualLayout>
          <c:xMode val="edge"/>
          <c:yMode val="edge"/>
          <c:x val="0.67086671932331643"/>
          <c:y val="6.0029846110214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429772617629019E-2"/>
          <c:y val="6.364683003247959E-2"/>
          <c:w val="0.38920980022432339"/>
          <c:h val="0.8634597854051170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B18-4ECB-919D-43C721A226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B18-4ECB-919D-43C721A226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B18-4ECB-919D-43C721A22685}"/>
              </c:ext>
            </c:extLst>
          </c:dPt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(Обор!$D$18,Обор!$D$21,Обор!$D$24)</c:f>
              <c:strCache>
                <c:ptCount val="3"/>
                <c:pt idx="0">
                  <c:v>Авансы покупателей</c:v>
                </c:pt>
                <c:pt idx="1">
                  <c:v>Устойчивые пассивы </c:v>
                </c:pt>
                <c:pt idx="2">
                  <c:v>Кредиторская задолженность</c:v>
                </c:pt>
              </c:strCache>
            </c:strRef>
          </c:cat>
          <c:val>
            <c:numRef>
              <c:f>(Обор!$F$18,Обор!$F$21,Обор!$F$24)</c:f>
              <c:numCache>
                <c:formatCode>0.00</c:formatCode>
                <c:ptCount val="3"/>
                <c:pt idx="0">
                  <c:v>9.7327390990036768</c:v>
                </c:pt>
                <c:pt idx="1">
                  <c:v>37.490653765589649</c:v>
                </c:pt>
                <c:pt idx="2">
                  <c:v>5.2148525477613195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D9-4A00-A1DF-B3ED21D50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0599653356433014"/>
          <c:y val="0.21010446138575084"/>
          <c:w val="0.32178126479700464"/>
          <c:h val="0.766169231496424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732312</xdr:colOff>
      <xdr:row>39</xdr:row>
      <xdr:rowOff>29689</xdr:rowOff>
    </xdr:from>
    <xdr:to>
      <xdr:col>15</xdr:col>
      <xdr:colOff>376051</xdr:colOff>
      <xdr:row>55</xdr:row>
      <xdr:rowOff>283029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B9118F2-D86C-1847-31C1-E70F16CDD3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880753</xdr:colOff>
      <xdr:row>56</xdr:row>
      <xdr:rowOff>89066</xdr:rowOff>
    </xdr:from>
    <xdr:to>
      <xdr:col>15</xdr:col>
      <xdr:colOff>445324</xdr:colOff>
      <xdr:row>79</xdr:row>
      <xdr:rowOff>29689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6E51D88-66B1-D970-14C6-8012AAB505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99785</xdr:colOff>
      <xdr:row>2</xdr:row>
      <xdr:rowOff>81644</xdr:rowOff>
    </xdr:from>
    <xdr:to>
      <xdr:col>12</xdr:col>
      <xdr:colOff>553357</xdr:colOff>
      <xdr:row>17</xdr:row>
      <xdr:rowOff>115208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81EE1599-C0BF-AEC9-D261-328BCE984E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684695</xdr:colOff>
      <xdr:row>12</xdr:row>
      <xdr:rowOff>99391</xdr:rowOff>
    </xdr:from>
    <xdr:to>
      <xdr:col>17</xdr:col>
      <xdr:colOff>22086</xdr:colOff>
      <xdr:row>24</xdr:row>
      <xdr:rowOff>99392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EA64442-99A5-7778-3DDC-568EC4EB71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739914</xdr:colOff>
      <xdr:row>24</xdr:row>
      <xdr:rowOff>242957</xdr:rowOff>
    </xdr:from>
    <xdr:to>
      <xdr:col>17</xdr:col>
      <xdr:colOff>66262</xdr:colOff>
      <xdr:row>34</xdr:row>
      <xdr:rowOff>112643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2A71B76-486B-0C4B-1916-C6B401264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4E86D4-8B56-43B3-BB67-8E975B88C59C}" name="Таблица1" displayName="Таблица1" ref="A3:F28" totalsRowShown="0" headerRowDxfId="6" dataDxfId="5">
  <autoFilter ref="A3:F28" xr:uid="{3A4E86D4-8B56-43B3-BB67-8E975B88C59C}"/>
  <tableColumns count="6">
    <tableColumn id="1" xr3:uid="{4CD891D0-262B-474A-AF8A-7E502C06D93B}" name="Категория" dataDxfId="4"/>
    <tableColumn id="2" xr3:uid="{7BF35781-1AA8-48D4-9F2A-CD9795AD68EC}" name="Показатель" dataDxfId="3"/>
    <tableColumn id="3" xr3:uid="{AB2A4C92-1BD3-4734-93E6-E9EE44006149}" name="Значение"/>
    <tableColumn id="4" xr3:uid="{53BC36CA-9B65-444C-A103-320087C64418}" name="Отрасль" dataDxfId="2"/>
    <tableColumn id="5" xr3:uid="{194AF1A2-5BD2-4B01-8293-8A62AFFFBB3A}" name="Норма / мин.доп." dataDxfId="1"/>
    <tableColumn id="6" xr3:uid="{398E8C45-6644-47E0-B1E4-7EF457273036}" name="Оценка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testfirm.ru/otrasli/06_10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12360-BD24-4DC6-A11B-4FDB98A1E303}">
  <dimension ref="A1:B28"/>
  <sheetViews>
    <sheetView topLeftCell="B3" workbookViewId="0">
      <selection activeCell="B19" sqref="B19"/>
    </sheetView>
  </sheetViews>
  <sheetFormatPr defaultRowHeight="14.4"/>
  <cols>
    <col min="1" max="1" width="22.77734375" customWidth="1"/>
    <col min="2" max="2" width="110.77734375" customWidth="1"/>
  </cols>
  <sheetData>
    <row r="1" spans="1:2" ht="21">
      <c r="A1" s="130" t="s">
        <v>99</v>
      </c>
      <c r="B1" s="130"/>
    </row>
    <row r="2" spans="1:2">
      <c r="A2" s="58" t="s">
        <v>100</v>
      </c>
    </row>
    <row r="3" spans="1:2">
      <c r="A3" s="58" t="s">
        <v>324</v>
      </c>
    </row>
    <row r="5" spans="1:2" ht="15.6">
      <c r="A5" s="107" t="s">
        <v>314</v>
      </c>
    </row>
    <row r="6" spans="1:2">
      <c r="A6" s="108" t="s">
        <v>101</v>
      </c>
      <c r="B6" s="108" t="s">
        <v>102</v>
      </c>
    </row>
    <row r="7" spans="1:2">
      <c r="A7" s="185" t="s">
        <v>20</v>
      </c>
      <c r="B7" t="s">
        <v>315</v>
      </c>
    </row>
    <row r="8" spans="1:2">
      <c r="A8" s="185" t="s">
        <v>282</v>
      </c>
      <c r="B8" t="s">
        <v>283</v>
      </c>
    </row>
    <row r="9" spans="1:2">
      <c r="A9" s="185" t="s">
        <v>284</v>
      </c>
      <c r="B9" t="s">
        <v>316</v>
      </c>
    </row>
    <row r="10" spans="1:2">
      <c r="A10" s="185" t="s">
        <v>285</v>
      </c>
      <c r="B10" t="s">
        <v>351</v>
      </c>
    </row>
    <row r="11" spans="1:2">
      <c r="A11" s="185" t="s">
        <v>286</v>
      </c>
      <c r="B11" t="s">
        <v>352</v>
      </c>
    </row>
    <row r="12" spans="1:2">
      <c r="A12" s="185" t="s">
        <v>287</v>
      </c>
      <c r="B12" t="s">
        <v>317</v>
      </c>
    </row>
    <row r="13" spans="1:2">
      <c r="A13" s="185" t="s">
        <v>288</v>
      </c>
      <c r="B13" t="s">
        <v>318</v>
      </c>
    </row>
    <row r="14" spans="1:2">
      <c r="A14" s="185" t="s">
        <v>289</v>
      </c>
      <c r="B14" t="s">
        <v>290</v>
      </c>
    </row>
    <row r="15" spans="1:2">
      <c r="A15" s="185" t="s">
        <v>291</v>
      </c>
      <c r="B15" t="s">
        <v>319</v>
      </c>
    </row>
    <row r="16" spans="1:2">
      <c r="A16" s="185"/>
    </row>
    <row r="18" spans="1:2" ht="15.6">
      <c r="A18" s="107" t="s">
        <v>323</v>
      </c>
    </row>
    <row r="19" spans="1:2">
      <c r="A19" s="22" t="s">
        <v>103</v>
      </c>
      <c r="B19" t="s">
        <v>277</v>
      </c>
    </row>
    <row r="20" spans="1:2">
      <c r="A20" s="22" t="s">
        <v>337</v>
      </c>
      <c r="B20" t="s">
        <v>338</v>
      </c>
    </row>
    <row r="21" spans="1:2">
      <c r="A21" s="22" t="s">
        <v>336</v>
      </c>
      <c r="B21" t="s">
        <v>320</v>
      </c>
    </row>
    <row r="23" spans="1:2" ht="15.6">
      <c r="A23" s="107" t="s">
        <v>325</v>
      </c>
    </row>
    <row r="24" spans="1:2">
      <c r="A24" s="22" t="s">
        <v>292</v>
      </c>
      <c r="B24" t="s">
        <v>339</v>
      </c>
    </row>
    <row r="25" spans="1:2">
      <c r="A25" s="22" t="s">
        <v>293</v>
      </c>
      <c r="B25" t="s">
        <v>321</v>
      </c>
    </row>
    <row r="26" spans="1:2">
      <c r="A26" s="22" t="s">
        <v>294</v>
      </c>
      <c r="B26" t="s">
        <v>342</v>
      </c>
    </row>
    <row r="27" spans="1:2">
      <c r="A27" s="22" t="s">
        <v>295</v>
      </c>
      <c r="B27" t="s">
        <v>340</v>
      </c>
    </row>
    <row r="28" spans="1:2">
      <c r="A28" s="22" t="s">
        <v>296</v>
      </c>
      <c r="B28" t="s">
        <v>322</v>
      </c>
    </row>
  </sheetData>
  <hyperlinks>
    <hyperlink ref="A7" location="Баланс!A1" display="Баланс" xr:uid="{4B81FBE7-56B5-42BD-B11B-5A07B4C4B0C3}"/>
    <hyperlink ref="A8" location="ОФР!A1" display="ОФР" xr:uid="{92B14650-4B58-4343-98F5-D68CDB34EB18}"/>
    <hyperlink ref="A9" location="Потоки!A1" display="Потоки" xr:uid="{F5D43CE2-889A-44FB-967A-FB47E6334446}"/>
    <hyperlink ref="A10" location="Обор!A1" display="Обор" xr:uid="{5BF6DE51-3968-4691-907B-698C801547D0}"/>
    <hyperlink ref="A11" location="ликв!A1" display="ликв" xr:uid="{5034488D-9F86-4019-8261-AF9E3862A5BA}"/>
    <hyperlink ref="A12" location="финуст!A1" display="финуст" xr:uid="{3666FB7E-C95E-430D-85EC-60558948D939}"/>
    <hyperlink ref="A13" location="рент!A1" display="рент" xr:uid="{E96919CA-A614-4275-AB26-09B4AD8A1667}"/>
    <hyperlink ref="A14" location="сводная!A1" display="сводная" xr:uid="{0C677F24-84F1-4306-BA46-48FA92AEFDD1}"/>
    <hyperlink ref="A15" location="эк.приб.!A1" display="эк.приб." xr:uid="{B3D401EB-F0B8-4A0F-9192-7DEB86F82F3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56B28-9107-49D1-A7AE-DB999DEF604F}">
  <dimension ref="A1:H83"/>
  <sheetViews>
    <sheetView zoomScale="77" zoomScaleNormal="80" workbookViewId="0">
      <selection activeCell="S59" sqref="S59"/>
    </sheetView>
  </sheetViews>
  <sheetFormatPr defaultRowHeight="14.4"/>
  <cols>
    <col min="1" max="1" width="40.21875" customWidth="1"/>
    <col min="2" max="2" width="15.109375" customWidth="1"/>
    <col min="3" max="3" width="17.109375" customWidth="1"/>
    <col min="4" max="4" width="14.77734375" customWidth="1"/>
    <col min="5" max="5" width="13.88671875" bestFit="1" customWidth="1"/>
    <col min="6" max="6" width="15.109375" customWidth="1"/>
  </cols>
  <sheetData>
    <row r="1" spans="1:5" ht="18.600000000000001" thickBot="1">
      <c r="A1" s="128" t="s">
        <v>164</v>
      </c>
      <c r="B1" s="129"/>
      <c r="C1" s="186" t="s">
        <v>314</v>
      </c>
    </row>
    <row r="2" spans="1:5" ht="31.8" thickBot="1">
      <c r="A2" s="1" t="s">
        <v>0</v>
      </c>
      <c r="B2" s="2" t="s">
        <v>1</v>
      </c>
      <c r="C2" s="2" t="s">
        <v>2</v>
      </c>
      <c r="D2" s="132" t="s">
        <v>161</v>
      </c>
      <c r="E2" s="132" t="s">
        <v>162</v>
      </c>
    </row>
    <row r="3" spans="1:5" ht="16.2" thickBot="1">
      <c r="A3" s="217" t="s">
        <v>3</v>
      </c>
      <c r="B3" s="218"/>
      <c r="C3" s="219"/>
      <c r="D3" s="134"/>
      <c r="E3" s="134"/>
    </row>
    <row r="4" spans="1:5" ht="16.2" thickBot="1">
      <c r="A4" s="220" t="s">
        <v>4</v>
      </c>
      <c r="B4" s="221"/>
      <c r="C4" s="222"/>
      <c r="D4" s="134"/>
      <c r="E4" s="134"/>
    </row>
    <row r="5" spans="1:5" ht="16.2" thickBot="1">
      <c r="A5" s="3" t="s">
        <v>5</v>
      </c>
      <c r="B5" s="4">
        <f>258991+80199+118143995</f>
        <v>118483185</v>
      </c>
      <c r="C5" s="4">
        <v>100441138</v>
      </c>
      <c r="D5" s="133">
        <f t="shared" ref="D5:D10" si="0">B5-C5</f>
        <v>18042047</v>
      </c>
      <c r="E5" s="135">
        <f t="shared" ref="E5:E10" si="1">D5/C5</f>
        <v>0.17962806235827397</v>
      </c>
    </row>
    <row r="6" spans="1:5" ht="16.2" thickBot="1">
      <c r="A6" s="3" t="s">
        <v>6</v>
      </c>
      <c r="B6" s="4">
        <f>1780998859-B7</f>
        <v>1683733571</v>
      </c>
      <c r="C6" s="4">
        <v>1554602062</v>
      </c>
      <c r="D6" s="133">
        <f t="shared" si="0"/>
        <v>129131509</v>
      </c>
      <c r="E6" s="135">
        <f t="shared" si="1"/>
        <v>8.3064027866959045E-2</v>
      </c>
    </row>
    <row r="7" spans="1:5" ht="16.2" thickBot="1">
      <c r="A7" s="6" t="s">
        <v>7</v>
      </c>
      <c r="B7" s="7">
        <v>97265288</v>
      </c>
      <c r="C7" s="8">
        <v>88890783</v>
      </c>
      <c r="D7" s="133">
        <f t="shared" si="0"/>
        <v>8374505</v>
      </c>
      <c r="E7" s="135">
        <f t="shared" si="1"/>
        <v>9.4211173727651837E-2</v>
      </c>
    </row>
    <row r="8" spans="1:5" ht="16.2" thickBot="1">
      <c r="A8" s="3" t="s">
        <v>8</v>
      </c>
      <c r="B8" s="9">
        <v>4157418676</v>
      </c>
      <c r="C8" s="4">
        <v>2147558760</v>
      </c>
      <c r="D8" s="133">
        <f t="shared" si="0"/>
        <v>2009859916</v>
      </c>
      <c r="E8" s="135">
        <f t="shared" si="1"/>
        <v>0.93588122170869026</v>
      </c>
    </row>
    <row r="9" spans="1:5" ht="16.2" thickBot="1">
      <c r="A9" s="3" t="s">
        <v>9</v>
      </c>
      <c r="B9" s="4">
        <f xml:space="preserve"> 68671352+48697484+85116158</f>
        <v>202484994</v>
      </c>
      <c r="C9" s="4">
        <v>144158282</v>
      </c>
      <c r="D9" s="133">
        <f t="shared" si="0"/>
        <v>58326712</v>
      </c>
      <c r="E9" s="135">
        <f t="shared" si="1"/>
        <v>0.40460188059122404</v>
      </c>
    </row>
    <row r="10" spans="1:5" ht="16.2" thickBot="1">
      <c r="A10" s="163" t="s">
        <v>10</v>
      </c>
      <c r="B10" s="164">
        <f>SUM(B5:B9)</f>
        <v>6259385714</v>
      </c>
      <c r="C10" s="164">
        <f>SUM(C5:C9)</f>
        <v>4035651025</v>
      </c>
      <c r="D10" s="140">
        <f t="shared" si="0"/>
        <v>2223734689</v>
      </c>
      <c r="E10" s="141">
        <f t="shared" si="1"/>
        <v>0.55102254263920158</v>
      </c>
    </row>
    <row r="11" spans="1:5" ht="16.2" thickBot="1">
      <c r="A11" s="214" t="s">
        <v>11</v>
      </c>
      <c r="B11" s="215"/>
      <c r="C11" s="216"/>
      <c r="D11" s="134"/>
      <c r="E11" s="134"/>
    </row>
    <row r="12" spans="1:5" ht="16.2" thickBot="1">
      <c r="A12" s="3" t="s">
        <v>12</v>
      </c>
      <c r="B12" s="4">
        <v>6483299</v>
      </c>
      <c r="C12" s="4">
        <v>6995927</v>
      </c>
      <c r="D12" s="133">
        <f t="shared" ref="D12:D20" si="2">B12-C12</f>
        <v>-512628</v>
      </c>
      <c r="E12" s="135">
        <f t="shared" ref="E12:E20" si="3">D12/C12</f>
        <v>-7.3275207131235073E-2</v>
      </c>
    </row>
    <row r="13" spans="1:5" ht="16.2" thickBot="1">
      <c r="A13" s="3" t="s">
        <v>13</v>
      </c>
      <c r="B13" s="4">
        <f>128911694*0.62</f>
        <v>79925250.280000001</v>
      </c>
      <c r="C13" s="4">
        <v>67831061</v>
      </c>
      <c r="D13" s="133">
        <f t="shared" si="2"/>
        <v>12094189.280000001</v>
      </c>
      <c r="E13" s="135">
        <f t="shared" si="3"/>
        <v>0.17829868944553295</v>
      </c>
    </row>
    <row r="14" spans="1:5" ht="16.2" thickBot="1">
      <c r="A14" s="3" t="s">
        <v>14</v>
      </c>
      <c r="B14" s="4">
        <f>128911694*0.107</f>
        <v>13793551.257999999</v>
      </c>
      <c r="C14" s="4">
        <v>8801022</v>
      </c>
      <c r="D14" s="133">
        <f t="shared" si="2"/>
        <v>4992529.2579999994</v>
      </c>
      <c r="E14" s="135">
        <f t="shared" si="3"/>
        <v>0.56726698990185453</v>
      </c>
    </row>
    <row r="15" spans="1:5" ht="16.2" thickBot="1">
      <c r="A15" s="3" t="s">
        <v>15</v>
      </c>
      <c r="B15" s="4">
        <f>128911694*0.25</f>
        <v>32227923.5</v>
      </c>
      <c r="C15" s="4">
        <v>25431978</v>
      </c>
      <c r="D15" s="133">
        <f t="shared" si="2"/>
        <v>6795945.5</v>
      </c>
      <c r="E15" s="135">
        <f t="shared" si="3"/>
        <v>0.26722048517028446</v>
      </c>
    </row>
    <row r="16" spans="1:5" ht="16.2" thickBot="1">
      <c r="A16" s="3" t="s">
        <v>16</v>
      </c>
      <c r="B16" s="4">
        <f>370070251-B12-85116158</f>
        <v>278470794</v>
      </c>
      <c r="C16" s="4">
        <v>241855930</v>
      </c>
      <c r="D16" s="133">
        <f t="shared" si="2"/>
        <v>36614864</v>
      </c>
      <c r="E16" s="135">
        <f t="shared" si="3"/>
        <v>0.15139121873091968</v>
      </c>
    </row>
    <row r="17" spans="1:8" ht="31.8" thickBot="1">
      <c r="A17" s="3" t="s">
        <v>17</v>
      </c>
      <c r="B17" s="4">
        <v>117322239</v>
      </c>
      <c r="C17" s="4">
        <v>103639491</v>
      </c>
      <c r="D17" s="133">
        <f t="shared" si="2"/>
        <v>13682748</v>
      </c>
      <c r="E17" s="135">
        <f t="shared" si="3"/>
        <v>0.13202253183586168</v>
      </c>
    </row>
    <row r="18" spans="1:8" ht="16.2" thickBot="1">
      <c r="A18" s="3" t="s">
        <v>18</v>
      </c>
      <c r="B18" s="4">
        <f>8292304+4527335+1502886150+2811094</f>
        <v>1518516883</v>
      </c>
      <c r="C18" s="4">
        <v>2186644582</v>
      </c>
      <c r="D18" s="133">
        <f t="shared" si="2"/>
        <v>-668127699</v>
      </c>
      <c r="E18" s="135">
        <f t="shared" si="3"/>
        <v>-0.30554928976564699</v>
      </c>
      <c r="H18" s="28"/>
    </row>
    <row r="19" spans="1:8" ht="16.2" thickBot="1">
      <c r="A19" s="163" t="s">
        <v>19</v>
      </c>
      <c r="B19" s="164">
        <f>SUM(B12:B18)</f>
        <v>2046739940.0380001</v>
      </c>
      <c r="C19" s="164">
        <f>SUM(C12:C18)</f>
        <v>2641199991</v>
      </c>
      <c r="D19" s="140">
        <f t="shared" si="2"/>
        <v>-594460050.96199989</v>
      </c>
      <c r="E19" s="141">
        <f t="shared" si="3"/>
        <v>-0.22507195706029362</v>
      </c>
    </row>
    <row r="20" spans="1:8" ht="16.2" thickBot="1">
      <c r="A20" s="10" t="s">
        <v>20</v>
      </c>
      <c r="B20" s="11">
        <f>B10+B19</f>
        <v>8306125654.0380001</v>
      </c>
      <c r="C20" s="11">
        <f>C10+C19</f>
        <v>6676851016</v>
      </c>
      <c r="D20" s="140">
        <f t="shared" si="2"/>
        <v>1629274638.0380001</v>
      </c>
      <c r="E20" s="141">
        <f t="shared" si="3"/>
        <v>0.24401842038016205</v>
      </c>
    </row>
    <row r="21" spans="1:8" ht="16.2" thickBot="1">
      <c r="A21" s="223" t="s">
        <v>21</v>
      </c>
      <c r="B21" s="224"/>
      <c r="C21" s="225"/>
      <c r="D21" s="134"/>
      <c r="E21" s="136"/>
    </row>
    <row r="22" spans="1:8" ht="16.8" customHeight="1" thickBot="1">
      <c r="A22" s="214" t="s">
        <v>22</v>
      </c>
      <c r="B22" s="215"/>
      <c r="C22" s="216"/>
      <c r="D22" s="134"/>
      <c r="E22" s="136"/>
    </row>
    <row r="23" spans="1:8" ht="16.2" thickBot="1">
      <c r="A23" s="3" t="s">
        <v>23</v>
      </c>
      <c r="B23" s="4">
        <f>43427993+192511786+317163645</f>
        <v>553103424</v>
      </c>
      <c r="C23" s="4">
        <v>540262471</v>
      </c>
      <c r="D23" s="133">
        <f>B23-C23</f>
        <v>12840953</v>
      </c>
      <c r="E23" s="135">
        <f>D23/C23</f>
        <v>2.3767989985001198E-2</v>
      </c>
    </row>
    <row r="24" spans="1:8" ht="16.2" thickBot="1">
      <c r="A24" s="3" t="s">
        <v>24</v>
      </c>
      <c r="B24" s="4">
        <f>6514198+6913861929</f>
        <v>6920376127</v>
      </c>
      <c r="C24" s="4">
        <v>5616029413</v>
      </c>
      <c r="D24" s="133">
        <f>B24-C24</f>
        <v>1304346714</v>
      </c>
      <c r="E24" s="135">
        <f>D24/C24</f>
        <v>0.23225425261853058</v>
      </c>
    </row>
    <row r="25" spans="1:8" ht="16.2" thickBot="1">
      <c r="A25" s="163" t="s">
        <v>25</v>
      </c>
      <c r="B25" s="164">
        <f>SUM(B23:B24)</f>
        <v>7473479551</v>
      </c>
      <c r="C25" s="164">
        <f>SUM(C23:C24)</f>
        <v>6156291884</v>
      </c>
      <c r="D25" s="133">
        <f>B25-C25</f>
        <v>1317187667</v>
      </c>
      <c r="E25" s="135">
        <f>D25/C25</f>
        <v>0.21395796232848013</v>
      </c>
    </row>
    <row r="26" spans="1:8" ht="16.2" thickBot="1">
      <c r="A26" s="214" t="s">
        <v>26</v>
      </c>
      <c r="B26" s="215"/>
      <c r="C26" s="216"/>
      <c r="D26" s="133"/>
      <c r="E26" s="135"/>
    </row>
    <row r="27" spans="1:8" ht="16.2" thickBot="1">
      <c r="A27" s="10" t="s">
        <v>27</v>
      </c>
      <c r="B27" s="11">
        <v>438844622</v>
      </c>
      <c r="C27" s="11">
        <v>254061278</v>
      </c>
      <c r="D27" s="140">
        <f>B27-C27</f>
        <v>184783344</v>
      </c>
      <c r="E27" s="141">
        <f>D27/C27</f>
        <v>0.72731801341249647</v>
      </c>
    </row>
    <row r="28" spans="1:8" ht="16.2" thickBot="1">
      <c r="A28" s="202" t="s">
        <v>28</v>
      </c>
      <c r="B28" s="203"/>
      <c r="C28" s="204"/>
      <c r="D28" s="134"/>
      <c r="E28" s="136"/>
    </row>
    <row r="29" spans="1:8" ht="16.2" thickBot="1">
      <c r="A29" s="3" t="s">
        <v>29</v>
      </c>
      <c r="B29" s="4" t="s">
        <v>30</v>
      </c>
      <c r="C29" s="4" t="s">
        <v>30</v>
      </c>
      <c r="D29" s="134"/>
      <c r="E29" s="136"/>
    </row>
    <row r="30" spans="1:8" ht="31.8" thickBot="1">
      <c r="A30" s="3" t="s">
        <v>31</v>
      </c>
      <c r="B30" s="4">
        <f>368881966*0.075</f>
        <v>27666147.449999999</v>
      </c>
      <c r="C30" s="4">
        <v>25064417</v>
      </c>
      <c r="D30" s="133">
        <f>B30-C30</f>
        <v>2601730.4499999993</v>
      </c>
      <c r="E30" s="137">
        <f>D30/C30</f>
        <v>0.10380175409625524</v>
      </c>
    </row>
    <row r="31" spans="1:8" ht="16.2" thickBot="1">
      <c r="A31" s="3" t="s">
        <v>32</v>
      </c>
      <c r="B31" s="4">
        <v>73860933</v>
      </c>
      <c r="C31" s="4">
        <v>44466308</v>
      </c>
      <c r="D31" s="133">
        <f>B31-C31</f>
        <v>29394625</v>
      </c>
      <c r="E31" s="135">
        <f>D31/C31</f>
        <v>0.66105387026959828</v>
      </c>
    </row>
    <row r="32" spans="1:8" ht="31.8" thickBot="1">
      <c r="A32" s="3" t="s">
        <v>33</v>
      </c>
      <c r="B32" s="4">
        <f>368881966*0.623</f>
        <v>229813464.81799999</v>
      </c>
      <c r="C32" s="4">
        <v>149277468</v>
      </c>
      <c r="D32" s="133">
        <f>B32-C32</f>
        <v>80535996.817999989</v>
      </c>
      <c r="E32" s="135">
        <f>D32/C32</f>
        <v>0.5395053781190875</v>
      </c>
    </row>
    <row r="33" spans="1:6" ht="16.2" thickBot="1">
      <c r="A33" s="3" t="s">
        <v>34</v>
      </c>
      <c r="B33" s="4" t="s">
        <v>30</v>
      </c>
      <c r="C33" s="13" t="s">
        <v>30</v>
      </c>
      <c r="D33" s="134"/>
      <c r="E33" s="136"/>
    </row>
    <row r="34" spans="1:6" ht="16.2" thickBot="1">
      <c r="A34" s="3" t="s">
        <v>35</v>
      </c>
      <c r="B34" s="4">
        <f>24840752+6277910+6440000-17241+21836593+524983+13253+2544686</f>
        <v>62460936</v>
      </c>
      <c r="C34" s="4">
        <f>21248154+1182725+13141+25245641</f>
        <v>47689661</v>
      </c>
      <c r="D34" s="133">
        <f>B34-C34</f>
        <v>14771275</v>
      </c>
      <c r="E34" s="135">
        <f>D34/C34</f>
        <v>0.30973747118898581</v>
      </c>
    </row>
    <row r="35" spans="1:6" ht="16.2" thickBot="1">
      <c r="A35" s="10" t="s">
        <v>36</v>
      </c>
      <c r="B35" s="11">
        <f>SUM(B29:B34)</f>
        <v>393801481.26800001</v>
      </c>
      <c r="C35" s="11">
        <f>SUM(C29:C34)</f>
        <v>266497854</v>
      </c>
      <c r="D35" s="140">
        <f>B35-C35</f>
        <v>127303627.26800001</v>
      </c>
      <c r="E35" s="141">
        <f>D35/C35</f>
        <v>0.47769100335044351</v>
      </c>
    </row>
    <row r="36" spans="1:6" ht="16.2" thickBot="1">
      <c r="A36" s="163" t="s">
        <v>37</v>
      </c>
      <c r="B36" s="164">
        <f>B35+B27</f>
        <v>832646103.26800001</v>
      </c>
      <c r="C36" s="164">
        <f>C35+C27</f>
        <v>520559132</v>
      </c>
      <c r="D36" s="140">
        <f>B36-C36</f>
        <v>312086971.26800001</v>
      </c>
      <c r="E36" s="141">
        <f>D36/C36</f>
        <v>0.59952261344250135</v>
      </c>
    </row>
    <row r="37" spans="1:6" ht="16.2" thickBot="1">
      <c r="A37" s="10" t="s">
        <v>20</v>
      </c>
      <c r="B37" s="11">
        <f>SUM(B36,B25)</f>
        <v>8306125654.2679996</v>
      </c>
      <c r="C37" s="11">
        <f>SUM(C36,C25)</f>
        <v>6676851016</v>
      </c>
      <c r="D37" s="140">
        <f>B37-C37</f>
        <v>1629274638.2679996</v>
      </c>
      <c r="E37" s="141">
        <f>D37/C37</f>
        <v>0.24401842041460936</v>
      </c>
    </row>
    <row r="38" spans="1:6" ht="15.6">
      <c r="A38" s="138"/>
      <c r="B38" s="138"/>
      <c r="C38" s="138"/>
      <c r="D38" s="138"/>
      <c r="E38" s="138"/>
      <c r="F38" s="5"/>
    </row>
    <row r="39" spans="1:6" ht="18.600000000000001" thickBot="1">
      <c r="A39" s="128" t="s">
        <v>256</v>
      </c>
      <c r="B39" s="138"/>
      <c r="C39" s="7"/>
      <c r="D39" s="139"/>
      <c r="E39" s="139"/>
    </row>
    <row r="40" spans="1:6" ht="31.8" thickBot="1">
      <c r="A40" s="14" t="s">
        <v>0</v>
      </c>
      <c r="B40" s="15" t="s">
        <v>1</v>
      </c>
      <c r="C40" s="15" t="s">
        <v>2</v>
      </c>
      <c r="D40" s="138"/>
      <c r="E40" s="138"/>
    </row>
    <row r="41" spans="1:6" ht="16.2" thickBot="1">
      <c r="A41" s="205" t="s">
        <v>3</v>
      </c>
      <c r="B41" s="206"/>
      <c r="C41" s="207"/>
      <c r="D41" s="138"/>
      <c r="E41" s="138"/>
    </row>
    <row r="42" spans="1:6" ht="16.2" thickBot="1">
      <c r="A42" s="208" t="s">
        <v>38</v>
      </c>
      <c r="B42" s="209"/>
      <c r="C42" s="210"/>
      <c r="D42" s="138"/>
      <c r="E42" s="138"/>
    </row>
    <row r="43" spans="1:6" ht="16.2" thickBot="1">
      <c r="A43" s="16" t="s">
        <v>5</v>
      </c>
      <c r="B43" s="17">
        <f>B5/$B$10</f>
        <v>1.8928883825611774E-2</v>
      </c>
      <c r="C43" s="17">
        <f>C5/$C$10</f>
        <v>2.4888459725032841E-2</v>
      </c>
      <c r="D43" s="138"/>
      <c r="E43" s="138"/>
    </row>
    <row r="44" spans="1:6" ht="16.2" thickBot="1">
      <c r="A44" s="16" t="s">
        <v>6</v>
      </c>
      <c r="B44" s="17">
        <f>B6/$B$10</f>
        <v>0.26899342011055366</v>
      </c>
      <c r="C44" s="17">
        <f>C6/$C$10</f>
        <v>0.3852171687714252</v>
      </c>
      <c r="D44" s="138"/>
      <c r="E44" s="138"/>
    </row>
    <row r="45" spans="1:6" ht="16.2" thickBot="1">
      <c r="A45" s="16" t="s">
        <v>7</v>
      </c>
      <c r="B45" s="17">
        <f>B7/$B$10</f>
        <v>1.5539110776070637E-2</v>
      </c>
      <c r="C45" s="17">
        <f>C7/$C$10</f>
        <v>2.2026379994043218E-2</v>
      </c>
      <c r="D45" s="138"/>
      <c r="E45" s="138"/>
    </row>
    <row r="46" spans="1:6" ht="16.2" thickBot="1">
      <c r="A46" s="16" t="s">
        <v>8</v>
      </c>
      <c r="B46" s="17">
        <f>B8/$B$10</f>
        <v>0.66418956523183192</v>
      </c>
      <c r="C46" s="17">
        <f>C8/$C$10</f>
        <v>0.53214679532405806</v>
      </c>
      <c r="D46" s="138"/>
      <c r="E46" s="138"/>
    </row>
    <row r="47" spans="1:6" ht="16.2" thickBot="1">
      <c r="A47" s="16" t="s">
        <v>9</v>
      </c>
      <c r="B47" s="17">
        <f>B9/$B$10</f>
        <v>3.234902005593196E-2</v>
      </c>
      <c r="C47" s="17">
        <f>C9/$C$10</f>
        <v>3.5721196185440736E-2</v>
      </c>
      <c r="D47" s="138"/>
      <c r="E47" s="138"/>
    </row>
    <row r="48" spans="1:6" ht="16.2" thickBot="1">
      <c r="A48" s="18" t="s">
        <v>39</v>
      </c>
      <c r="B48" s="19">
        <f>SUM(B43:B47)</f>
        <v>1</v>
      </c>
      <c r="C48" s="19">
        <f>SUM(C43:C47)</f>
        <v>1</v>
      </c>
      <c r="D48" s="138"/>
      <c r="E48" s="138"/>
    </row>
    <row r="49" spans="1:5" ht="31.8" thickBot="1">
      <c r="A49" s="18" t="s">
        <v>40</v>
      </c>
      <c r="B49" s="17">
        <f>B10/B20</f>
        <v>0.75358668706835863</v>
      </c>
      <c r="C49" s="17">
        <f>C10/C20</f>
        <v>0.6044243035121214</v>
      </c>
      <c r="D49" s="138"/>
      <c r="E49" s="138"/>
    </row>
    <row r="50" spans="1:5" ht="16.2" thickBot="1">
      <c r="A50" s="199" t="s">
        <v>41</v>
      </c>
      <c r="B50" s="200"/>
      <c r="C50" s="201"/>
      <c r="D50" s="138"/>
      <c r="E50" s="138"/>
    </row>
    <row r="51" spans="1:5" ht="16.2" thickBot="1">
      <c r="A51" s="16" t="s">
        <v>12</v>
      </c>
      <c r="B51" s="17">
        <f t="shared" ref="B51:B57" si="4">B12/$B$19</f>
        <v>3.1676222626894307E-3</v>
      </c>
      <c r="C51" s="17">
        <f t="shared" ref="C51:C57" si="5">C12/$C$19</f>
        <v>2.6487683718911539E-3</v>
      </c>
      <c r="D51" s="138"/>
      <c r="E51" s="138"/>
    </row>
    <row r="52" spans="1:5" ht="16.2" thickBot="1">
      <c r="A52" s="16" t="s">
        <v>13</v>
      </c>
      <c r="B52" s="17">
        <f t="shared" si="4"/>
        <v>3.9050027175663603E-2</v>
      </c>
      <c r="C52" s="17">
        <f t="shared" si="5"/>
        <v>2.568191020412585E-2</v>
      </c>
      <c r="D52" s="138"/>
      <c r="E52" s="138"/>
    </row>
    <row r="53" spans="1:5" ht="16.2" thickBot="1">
      <c r="A53" s="16" t="s">
        <v>14</v>
      </c>
      <c r="B53" s="17">
        <f t="shared" si="4"/>
        <v>6.7392788835419441E-3</v>
      </c>
      <c r="C53" s="17">
        <f t="shared" si="5"/>
        <v>3.3322058268930232E-3</v>
      </c>
      <c r="D53" s="138"/>
      <c r="E53" s="138"/>
    </row>
    <row r="54" spans="1:5" ht="16.2" thickBot="1">
      <c r="A54" s="16" t="s">
        <v>15</v>
      </c>
      <c r="B54" s="17">
        <f t="shared" si="4"/>
        <v>1.5745978699864358E-2</v>
      </c>
      <c r="C54" s="17">
        <f t="shared" si="5"/>
        <v>9.6289482381722458E-3</v>
      </c>
      <c r="D54" s="138"/>
      <c r="E54" s="138"/>
    </row>
    <row r="55" spans="1:5" ht="16.2" thickBot="1">
      <c r="A55" s="16" t="s">
        <v>16</v>
      </c>
      <c r="B55" s="17">
        <f t="shared" si="4"/>
        <v>0.1360557775575679</v>
      </c>
      <c r="C55" s="17">
        <f t="shared" si="5"/>
        <v>9.1570472067292991E-2</v>
      </c>
      <c r="D55" s="138"/>
      <c r="E55" s="138"/>
    </row>
    <row r="56" spans="1:5" ht="31.8" thickBot="1">
      <c r="A56" s="16" t="s">
        <v>17</v>
      </c>
      <c r="B56" s="17">
        <f t="shared" si="4"/>
        <v>5.7321517357902231E-2</v>
      </c>
      <c r="C56" s="17">
        <f t="shared" si="5"/>
        <v>3.92395469306209E-2</v>
      </c>
      <c r="D56" s="138"/>
      <c r="E56" s="138"/>
    </row>
    <row r="57" spans="1:5" ht="16.2" thickBot="1">
      <c r="A57" s="16" t="s">
        <v>18</v>
      </c>
      <c r="B57" s="17">
        <f t="shared" si="4"/>
        <v>0.74191979806277053</v>
      </c>
      <c r="C57" s="17">
        <f t="shared" si="5"/>
        <v>0.82789814836100384</v>
      </c>
      <c r="D57" s="138"/>
      <c r="E57" s="138"/>
    </row>
    <row r="58" spans="1:5" ht="16.2" thickBot="1">
      <c r="A58" s="18" t="s">
        <v>42</v>
      </c>
      <c r="B58" s="19">
        <f>SUM(B51:B57)</f>
        <v>1</v>
      </c>
      <c r="C58" s="19">
        <f>SUM(C51:C57)</f>
        <v>1</v>
      </c>
      <c r="D58" s="138"/>
      <c r="E58" s="138"/>
    </row>
    <row r="59" spans="1:5" ht="31.8" thickBot="1">
      <c r="A59" s="18" t="s">
        <v>43</v>
      </c>
      <c r="B59" s="17">
        <f>B19/B20</f>
        <v>0.24641331293164137</v>
      </c>
      <c r="C59" s="17">
        <f>C19/C20</f>
        <v>0.3955756964878786</v>
      </c>
      <c r="D59" s="138"/>
      <c r="E59" s="138"/>
    </row>
    <row r="60" spans="1:5" ht="16.2" thickBot="1">
      <c r="A60" s="20" t="s">
        <v>44</v>
      </c>
      <c r="B60" s="19">
        <v>1</v>
      </c>
      <c r="C60" s="19">
        <v>1</v>
      </c>
      <c r="D60" s="138"/>
      <c r="E60" s="138"/>
    </row>
    <row r="61" spans="1:5" ht="16.2" thickBot="1">
      <c r="A61" s="211" t="s">
        <v>21</v>
      </c>
      <c r="B61" s="212"/>
      <c r="C61" s="213"/>
      <c r="D61" s="138"/>
      <c r="E61" s="138"/>
    </row>
    <row r="62" spans="1:5" ht="16.2" thickBot="1">
      <c r="A62" s="199" t="s">
        <v>22</v>
      </c>
      <c r="B62" s="200"/>
      <c r="C62" s="201"/>
      <c r="D62" s="138"/>
      <c r="E62" s="138"/>
    </row>
    <row r="63" spans="1:5" ht="16.2" thickBot="1">
      <c r="A63" s="16" t="s">
        <v>23</v>
      </c>
      <c r="B63" s="17">
        <f>B23/$B$25</f>
        <v>7.4008822828181983E-2</v>
      </c>
      <c r="C63" s="17">
        <f>C23/$C$25</f>
        <v>8.7757773864511585E-2</v>
      </c>
      <c r="D63" s="138"/>
      <c r="E63" s="138"/>
    </row>
    <row r="64" spans="1:5" ht="16.2" thickBot="1">
      <c r="A64" s="16" t="s">
        <v>24</v>
      </c>
      <c r="B64" s="17">
        <f>B24/$B$25</f>
        <v>0.925991177171818</v>
      </c>
      <c r="C64" s="17">
        <f>C24/$C$25</f>
        <v>0.91224222613548844</v>
      </c>
      <c r="D64" s="138"/>
      <c r="E64" s="138"/>
    </row>
    <row r="65" spans="1:5" ht="16.2" thickBot="1">
      <c r="A65" s="18" t="s">
        <v>25</v>
      </c>
      <c r="B65" s="19">
        <f>SUM(B63:B64)</f>
        <v>1</v>
      </c>
      <c r="C65" s="19">
        <f>SUM(C63:C64)</f>
        <v>1</v>
      </c>
      <c r="D65" s="138"/>
      <c r="E65" s="138"/>
    </row>
    <row r="66" spans="1:5" ht="31.8" thickBot="1">
      <c r="A66" s="18" t="s">
        <v>45</v>
      </c>
      <c r="B66" s="17">
        <f>B25/B37</f>
        <v>0.89975517612833666</v>
      </c>
      <c r="C66" s="17">
        <f>C25/C37</f>
        <v>0.92203523326302117</v>
      </c>
      <c r="D66" s="138"/>
      <c r="E66" s="138"/>
    </row>
    <row r="67" spans="1:5" ht="16.2" thickBot="1">
      <c r="A67" s="18" t="s">
        <v>26</v>
      </c>
      <c r="B67" s="21"/>
      <c r="C67" s="21"/>
      <c r="D67" s="138"/>
      <c r="E67" s="138"/>
    </row>
    <row r="68" spans="1:5" ht="16.2" thickBot="1">
      <c r="A68" s="16" t="s">
        <v>27</v>
      </c>
      <c r="B68" s="17">
        <f>B27/$B$36</f>
        <v>0.52704819043481554</v>
      </c>
      <c r="C68" s="17">
        <f>C27/$C$36</f>
        <v>0.48805459818539887</v>
      </c>
      <c r="D68" s="138"/>
      <c r="E68" s="138"/>
    </row>
    <row r="69" spans="1:5" ht="16.2" thickBot="1">
      <c r="A69" s="199" t="s">
        <v>28</v>
      </c>
      <c r="B69" s="200"/>
      <c r="C69" s="201"/>
      <c r="D69" s="138"/>
      <c r="E69" s="138"/>
    </row>
    <row r="70" spans="1:5" ht="16.2" thickBot="1">
      <c r="A70" s="16" t="s">
        <v>29</v>
      </c>
      <c r="B70" s="17"/>
      <c r="C70" s="17"/>
      <c r="D70" s="138"/>
      <c r="E70" s="138"/>
    </row>
    <row r="71" spans="1:5" ht="31.8" thickBot="1">
      <c r="A71" s="16" t="s">
        <v>31</v>
      </c>
      <c r="B71" s="17">
        <f>B30/$B$35</f>
        <v>7.0254046178084117E-2</v>
      </c>
      <c r="C71" s="17">
        <f>C30/$C$35</f>
        <v>9.4051102565351236E-2</v>
      </c>
      <c r="D71" s="138"/>
      <c r="E71" s="138"/>
    </row>
    <row r="72" spans="1:5" ht="16.2" thickBot="1">
      <c r="A72" s="16" t="s">
        <v>32</v>
      </c>
      <c r="B72" s="17">
        <f t="shared" ref="B72:B73" si="6">B31/$B$35</f>
        <v>0.18755879932745667</v>
      </c>
      <c r="C72" s="17">
        <f t="shared" ref="C72:C73" si="7">C31/$C$35</f>
        <v>0.16685428168588554</v>
      </c>
      <c r="D72" s="138"/>
      <c r="E72" s="138"/>
    </row>
    <row r="73" spans="1:5" ht="31.8" thickBot="1">
      <c r="A73" s="16" t="s">
        <v>33</v>
      </c>
      <c r="B73" s="17">
        <f t="shared" si="6"/>
        <v>0.58357694358595202</v>
      </c>
      <c r="C73" s="17">
        <f t="shared" si="7"/>
        <v>0.56014510345738089</v>
      </c>
      <c r="D73" s="138"/>
      <c r="E73" s="138"/>
    </row>
    <row r="74" spans="1:5" ht="16.2" thickBot="1">
      <c r="A74" s="16" t="s">
        <v>34</v>
      </c>
      <c r="B74" s="17"/>
      <c r="C74" s="17"/>
      <c r="D74" s="138"/>
      <c r="E74" s="138"/>
    </row>
    <row r="75" spans="1:5" ht="16.2" thickBot="1">
      <c r="A75" s="16" t="s">
        <v>35</v>
      </c>
      <c r="B75" s="17">
        <f>B34/$B$35</f>
        <v>0.15861021090850713</v>
      </c>
      <c r="C75" s="17">
        <f>C34/$C$35</f>
        <v>0.17894951229138228</v>
      </c>
      <c r="D75" s="138"/>
      <c r="E75" s="138"/>
    </row>
    <row r="76" spans="1:5" ht="16.2" thickBot="1">
      <c r="A76" s="16" t="s">
        <v>36</v>
      </c>
      <c r="B76" s="17">
        <f>B35/B36</f>
        <v>0.4729518095651844</v>
      </c>
      <c r="C76" s="17">
        <f>C35/C36</f>
        <v>0.51194540181460113</v>
      </c>
      <c r="D76" s="138"/>
      <c r="E76" s="138"/>
    </row>
    <row r="77" spans="1:5" ht="16.2" thickBot="1">
      <c r="A77" s="18" t="s">
        <v>37</v>
      </c>
      <c r="B77" s="19">
        <f>B76+B68</f>
        <v>1</v>
      </c>
      <c r="C77" s="19">
        <f>C76+C68</f>
        <v>1</v>
      </c>
      <c r="D77" s="138"/>
      <c r="E77" s="138"/>
    </row>
    <row r="78" spans="1:5" ht="31.8" thickBot="1">
      <c r="A78" s="18" t="s">
        <v>46</v>
      </c>
      <c r="B78" s="17">
        <f>B36/B37</f>
        <v>0.10024482387166334</v>
      </c>
      <c r="C78" s="17">
        <f>C36/C37</f>
        <v>7.7964766736978816E-2</v>
      </c>
      <c r="D78" s="138"/>
      <c r="E78" s="138"/>
    </row>
    <row r="79" spans="1:5" ht="16.2" thickBot="1">
      <c r="A79" s="20" t="s">
        <v>47</v>
      </c>
      <c r="B79" s="19">
        <f>B78+B66</f>
        <v>1</v>
      </c>
      <c r="C79" s="19">
        <f>C78+C66</f>
        <v>1</v>
      </c>
      <c r="D79" s="138"/>
      <c r="E79" s="138"/>
    </row>
    <row r="80" spans="1:5" ht="15" customHeight="1">
      <c r="A80" s="138"/>
      <c r="B80" s="138"/>
      <c r="C80" s="138"/>
      <c r="D80" s="138"/>
      <c r="E80" s="138"/>
    </row>
    <row r="81" spans="1:5">
      <c r="A81" s="138"/>
      <c r="B81" s="138"/>
      <c r="C81" s="138"/>
      <c r="D81" s="138"/>
      <c r="E81" s="138"/>
    </row>
    <row r="82" spans="1:5">
      <c r="A82" s="138"/>
      <c r="B82" s="138"/>
      <c r="C82" s="138"/>
      <c r="D82" s="138"/>
      <c r="E82" s="138"/>
    </row>
    <row r="83" spans="1:5">
      <c r="A83" s="138"/>
      <c r="B83" s="138"/>
      <c r="C83" s="138"/>
      <c r="D83" s="138"/>
      <c r="E83" s="138"/>
    </row>
  </sheetData>
  <mergeCells count="13">
    <mergeCell ref="A26:C26"/>
    <mergeCell ref="A3:C3"/>
    <mergeCell ref="A4:C4"/>
    <mergeCell ref="A11:C11"/>
    <mergeCell ref="A21:C21"/>
    <mergeCell ref="A22:C22"/>
    <mergeCell ref="A69:C69"/>
    <mergeCell ref="A28:C28"/>
    <mergeCell ref="A41:C41"/>
    <mergeCell ref="A42:C42"/>
    <mergeCell ref="A50:C50"/>
    <mergeCell ref="A61:C61"/>
    <mergeCell ref="A62:C62"/>
  </mergeCells>
  <hyperlinks>
    <hyperlink ref="C1" location="readme!A1" display="Содержание" xr:uid="{7CA60406-1DD1-4C3A-8E3C-C57B5DDDC53C}"/>
  </hyperlink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EE6D0-5306-4EAA-86E0-25ADD7ED51AC}">
  <dimension ref="A1:D17"/>
  <sheetViews>
    <sheetView zoomScale="84" workbookViewId="0">
      <selection activeCell="U19" sqref="U19"/>
    </sheetView>
  </sheetViews>
  <sheetFormatPr defaultRowHeight="14.4"/>
  <cols>
    <col min="1" max="1" width="29.6640625" bestFit="1" customWidth="1"/>
    <col min="2" max="2" width="25.5546875" customWidth="1"/>
    <col min="3" max="3" width="19.21875" customWidth="1"/>
    <col min="4" max="4" width="17.21875" customWidth="1"/>
  </cols>
  <sheetData>
    <row r="1" spans="1:4" ht="18">
      <c r="A1" s="128" t="s">
        <v>48</v>
      </c>
      <c r="B1" s="129"/>
      <c r="C1" s="186" t="s">
        <v>314</v>
      </c>
    </row>
    <row r="2" spans="1:4" ht="18">
      <c r="A2" s="46"/>
    </row>
    <row r="3" spans="1:4" ht="16.2" thickBot="1">
      <c r="A3" s="160" t="s">
        <v>0</v>
      </c>
      <c r="B3" s="159" t="s">
        <v>258</v>
      </c>
      <c r="C3" s="159" t="s">
        <v>259</v>
      </c>
      <c r="D3" s="157" t="s">
        <v>161</v>
      </c>
    </row>
    <row r="4" spans="1:4" ht="16.2" thickBot="1">
      <c r="A4" s="161" t="s">
        <v>49</v>
      </c>
      <c r="B4" s="4">
        <v>2218771228</v>
      </c>
      <c r="C4" s="4">
        <v>2333088493</v>
      </c>
      <c r="D4" s="162">
        <f>B4-C4</f>
        <v>-114317265</v>
      </c>
    </row>
    <row r="5" spans="1:4" ht="16.2" thickBot="1">
      <c r="A5" s="161" t="s">
        <v>50</v>
      </c>
      <c r="B5" s="4">
        <v>-1693087998</v>
      </c>
      <c r="C5" s="4">
        <v>-1653963902</v>
      </c>
      <c r="D5" s="158">
        <f t="shared" ref="D5:D16" si="0">B5-C5</f>
        <v>-39124096</v>
      </c>
    </row>
    <row r="6" spans="1:4" ht="16.2" thickBot="1">
      <c r="A6" s="161" t="s">
        <v>51</v>
      </c>
      <c r="B6" s="4">
        <v>-36107853</v>
      </c>
      <c r="C6" s="4">
        <v>-35220880</v>
      </c>
      <c r="D6" s="158">
        <f t="shared" si="0"/>
        <v>-886973</v>
      </c>
    </row>
    <row r="7" spans="1:4" ht="16.2" thickBot="1">
      <c r="A7" s="161" t="s">
        <v>52</v>
      </c>
      <c r="B7" s="4">
        <v>-116173283</v>
      </c>
      <c r="C7" s="4">
        <v>-119940542</v>
      </c>
      <c r="D7" s="158">
        <f t="shared" si="0"/>
        <v>3767259</v>
      </c>
    </row>
    <row r="8" spans="1:4" ht="16.2" thickBot="1">
      <c r="A8" s="161" t="s">
        <v>53</v>
      </c>
      <c r="B8" s="4">
        <v>373402094</v>
      </c>
      <c r="C8" s="4">
        <v>523963169</v>
      </c>
      <c r="D8" s="158">
        <f t="shared" si="0"/>
        <v>-150561075</v>
      </c>
    </row>
    <row r="9" spans="1:4" ht="16.2" thickBot="1">
      <c r="A9" s="161" t="s">
        <v>54</v>
      </c>
      <c r="B9" s="4">
        <v>0</v>
      </c>
      <c r="C9" s="4">
        <v>0</v>
      </c>
      <c r="D9" s="158">
        <f t="shared" si="0"/>
        <v>0</v>
      </c>
    </row>
    <row r="10" spans="1:4" ht="16.2" thickBot="1">
      <c r="A10" s="161" t="s">
        <v>55</v>
      </c>
      <c r="B10" s="4">
        <v>248629416</v>
      </c>
      <c r="C10" s="4">
        <v>167034022</v>
      </c>
      <c r="D10" s="158">
        <f t="shared" si="0"/>
        <v>81595394</v>
      </c>
    </row>
    <row r="11" spans="1:4" ht="16.2" thickBot="1">
      <c r="A11" s="161" t="s">
        <v>56</v>
      </c>
      <c r="B11" s="4">
        <v>4053633</v>
      </c>
      <c r="C11" s="4">
        <v>2466638</v>
      </c>
      <c r="D11" s="158">
        <f t="shared" si="0"/>
        <v>1586995</v>
      </c>
    </row>
    <row r="12" spans="1:4" ht="16.2" thickBot="1">
      <c r="A12" s="161" t="s">
        <v>57</v>
      </c>
      <c r="B12" s="4">
        <v>1778679761</v>
      </c>
      <c r="C12" s="4">
        <v>4468478131</v>
      </c>
      <c r="D12" s="162">
        <f t="shared" si="0"/>
        <v>-2689798370</v>
      </c>
    </row>
    <row r="13" spans="1:4" ht="16.2" thickBot="1">
      <c r="A13" s="161" t="s">
        <v>58</v>
      </c>
      <c r="B13" s="4">
        <v>-800740586</v>
      </c>
      <c r="C13" s="4">
        <v>-5061052262</v>
      </c>
      <c r="D13" s="158">
        <f t="shared" si="0"/>
        <v>4260311676</v>
      </c>
    </row>
    <row r="14" spans="1:4" ht="20.399999999999999" customHeight="1" thickBot="1">
      <c r="A14" s="161" t="s">
        <v>59</v>
      </c>
      <c r="B14" s="4">
        <v>1604024318</v>
      </c>
      <c r="C14" s="4">
        <v>100889698</v>
      </c>
      <c r="D14" s="158">
        <f t="shared" si="0"/>
        <v>1503134620</v>
      </c>
    </row>
    <row r="15" spans="1:4" ht="16.2" thickBot="1">
      <c r="A15" s="161" t="s">
        <v>60</v>
      </c>
      <c r="B15" s="4">
        <v>-269647000</v>
      </c>
      <c r="C15" s="4">
        <v>-40871486</v>
      </c>
      <c r="D15" s="158">
        <f t="shared" si="0"/>
        <v>-228775514</v>
      </c>
    </row>
    <row r="16" spans="1:4" ht="16.2" thickBot="1">
      <c r="A16" s="161" t="s">
        <v>61</v>
      </c>
      <c r="B16" s="4">
        <v>1334377318</v>
      </c>
      <c r="C16" s="4">
        <v>60018212</v>
      </c>
      <c r="D16" s="158">
        <f t="shared" si="0"/>
        <v>1274359106</v>
      </c>
    </row>
    <row r="17" spans="2:2">
      <c r="B17" s="12"/>
    </row>
  </sheetData>
  <hyperlinks>
    <hyperlink ref="C1" location="readme!A1" display="Содержание" xr:uid="{371BAD6B-F249-492E-BC51-4987E34458E9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2CCE0-49EB-4446-8DF7-046F9F5E7DFC}">
  <dimension ref="A1:D15"/>
  <sheetViews>
    <sheetView workbookViewId="0">
      <selection activeCell="B1" sqref="B1"/>
    </sheetView>
  </sheetViews>
  <sheetFormatPr defaultRowHeight="14.4"/>
  <cols>
    <col min="1" max="1" width="25.77734375" customWidth="1"/>
    <col min="2" max="4" width="18.77734375" customWidth="1"/>
  </cols>
  <sheetData>
    <row r="1" spans="1:4" ht="18">
      <c r="A1" s="128" t="s">
        <v>163</v>
      </c>
      <c r="B1" s="186" t="s">
        <v>314</v>
      </c>
    </row>
    <row r="3" spans="1:4">
      <c r="A3" s="47" t="s">
        <v>104</v>
      </c>
      <c r="B3" s="47">
        <v>2023</v>
      </c>
      <c r="C3" s="47">
        <v>2022</v>
      </c>
      <c r="D3" s="47" t="s">
        <v>161</v>
      </c>
    </row>
    <row r="4" spans="1:4">
      <c r="A4" t="s">
        <v>105</v>
      </c>
      <c r="B4" s="12">
        <v>400724700</v>
      </c>
      <c r="C4" s="12">
        <v>541101345</v>
      </c>
      <c r="D4" s="12">
        <f>B4-C4</f>
        <v>-140376645</v>
      </c>
    </row>
    <row r="5" spans="1:4">
      <c r="A5" t="s">
        <v>106</v>
      </c>
      <c r="B5" s="12">
        <v>-360217222</v>
      </c>
      <c r="C5" s="12">
        <v>-528405848</v>
      </c>
      <c r="D5" s="12">
        <f>B5-C5</f>
        <v>168188626</v>
      </c>
    </row>
    <row r="6" spans="1:4">
      <c r="A6" t="s">
        <v>107</v>
      </c>
      <c r="B6" s="12">
        <v>-31469089</v>
      </c>
      <c r="C6" s="12">
        <v>-57558191</v>
      </c>
      <c r="D6" s="12">
        <f>B6-C6</f>
        <v>26089102</v>
      </c>
    </row>
    <row r="7" spans="1:4">
      <c r="A7" s="22" t="s">
        <v>108</v>
      </c>
      <c r="B7" s="48">
        <f>SUM(B4:B6)</f>
        <v>9038389</v>
      </c>
      <c r="C7" s="48">
        <f>SUM(C4:C6)</f>
        <v>-44862694</v>
      </c>
      <c r="D7" s="48">
        <f>B7-C7</f>
        <v>53901083</v>
      </c>
    </row>
    <row r="9" spans="1:4">
      <c r="A9" t="s">
        <v>109</v>
      </c>
      <c r="B9" t="s">
        <v>110</v>
      </c>
    </row>
    <row r="11" spans="1:4">
      <c r="A11" s="22" t="s">
        <v>111</v>
      </c>
    </row>
    <row r="12" spans="1:4">
      <c r="A12" t="s">
        <v>112</v>
      </c>
    </row>
    <row r="13" spans="1:4">
      <c r="A13" t="s">
        <v>113</v>
      </c>
    </row>
    <row r="14" spans="1:4">
      <c r="A14" t="s">
        <v>114</v>
      </c>
    </row>
    <row r="15" spans="1:4">
      <c r="A15" t="s">
        <v>115</v>
      </c>
    </row>
  </sheetData>
  <hyperlinks>
    <hyperlink ref="B1" location="readme!A1" display="Содержание" xr:uid="{30937E5B-869E-4F70-B593-76E77B63EE0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9A1D1-8C8D-4E94-98F2-45912C3ED2E9}">
  <dimension ref="A1:F33"/>
  <sheetViews>
    <sheetView topLeftCell="A3" zoomScale="69" zoomScaleNormal="160" workbookViewId="0">
      <selection activeCell="E15" sqref="E15"/>
    </sheetView>
  </sheetViews>
  <sheetFormatPr defaultRowHeight="14.4"/>
  <cols>
    <col min="1" max="1" width="25.5546875" customWidth="1"/>
    <col min="2" max="2" width="20.33203125" customWidth="1"/>
    <col min="3" max="3" width="10" customWidth="1"/>
    <col min="4" max="4" width="22.33203125" customWidth="1"/>
    <col min="5" max="5" width="17" customWidth="1"/>
    <col min="6" max="6" width="15.44140625" customWidth="1"/>
    <col min="7" max="7" width="17" customWidth="1"/>
  </cols>
  <sheetData>
    <row r="1" spans="1:6" ht="18">
      <c r="A1" s="128" t="s">
        <v>260</v>
      </c>
      <c r="B1" s="129"/>
      <c r="C1" s="186" t="s">
        <v>314</v>
      </c>
    </row>
    <row r="3" spans="1:6">
      <c r="A3" s="103" t="s">
        <v>167</v>
      </c>
      <c r="B3" s="104">
        <f>AVERAGE(B4,B5)</f>
        <v>2343969965.5190001</v>
      </c>
      <c r="D3" s="100"/>
      <c r="E3" s="100" t="s">
        <v>266</v>
      </c>
    </row>
    <row r="4" spans="1:6" ht="28.8">
      <c r="A4" s="105" t="s">
        <v>168</v>
      </c>
      <c r="B4" s="100">
        <f>Баланс!C19</f>
        <v>2641199991</v>
      </c>
      <c r="D4" s="100" t="s">
        <v>264</v>
      </c>
      <c r="E4" s="100">
        <v>2218771228</v>
      </c>
    </row>
    <row r="5" spans="1:6" ht="28.8">
      <c r="A5" s="105" t="s">
        <v>169</v>
      </c>
      <c r="B5" s="100">
        <f>Баланс!B19</f>
        <v>2046739940.0380001</v>
      </c>
      <c r="D5" s="101" t="s">
        <v>165</v>
      </c>
      <c r="E5" s="100">
        <v>1693087998</v>
      </c>
    </row>
    <row r="6" spans="1:6">
      <c r="A6" s="102"/>
      <c r="B6" s="100"/>
      <c r="D6" s="101" t="s">
        <v>52</v>
      </c>
      <c r="E6" s="100">
        <v>116173283</v>
      </c>
    </row>
    <row r="7" spans="1:6">
      <c r="A7" s="103" t="s">
        <v>173</v>
      </c>
      <c r="B7" s="104">
        <f>AVERAGE(B9,B8)</f>
        <v>7491488335.0190001</v>
      </c>
      <c r="D7" s="101" t="s">
        <v>166</v>
      </c>
      <c r="E7" s="100">
        <v>36107853</v>
      </c>
    </row>
    <row r="8" spans="1:6">
      <c r="A8" s="105" t="s">
        <v>175</v>
      </c>
      <c r="B8" s="100">
        <f>Баланс!C20</f>
        <v>6676851016</v>
      </c>
      <c r="D8" s="101" t="s">
        <v>265</v>
      </c>
      <c r="E8" s="100">
        <f>SUM(E5,E6,E7)</f>
        <v>1845369134</v>
      </c>
    </row>
    <row r="9" spans="1:6">
      <c r="A9" s="105" t="s">
        <v>176</v>
      </c>
      <c r="B9" s="100">
        <f>Баланс!B20</f>
        <v>8306125654.0380001</v>
      </c>
    </row>
    <row r="12" spans="1:6" ht="31.2">
      <c r="A12" s="23"/>
      <c r="B12" s="23"/>
      <c r="C12" s="177" t="s">
        <v>170</v>
      </c>
      <c r="D12" s="178" t="s">
        <v>171</v>
      </c>
    </row>
    <row r="13" spans="1:6">
      <c r="A13" s="39" t="s">
        <v>172</v>
      </c>
      <c r="B13" s="180">
        <f>E4/B3</f>
        <v>0.94658688491715437</v>
      </c>
      <c r="C13" s="179">
        <f>365/B13</f>
        <v>385.59587695105762</v>
      </c>
      <c r="D13" s="23">
        <v>97</v>
      </c>
    </row>
    <row r="14" spans="1:6">
      <c r="A14" s="39" t="s">
        <v>174</v>
      </c>
      <c r="B14" s="180">
        <f>E4/B7</f>
        <v>0.29617228630368986</v>
      </c>
      <c r="C14" s="179">
        <f>365/B14</f>
        <v>1232.3907971110282</v>
      </c>
      <c r="D14" s="23">
        <v>373</v>
      </c>
      <c r="E14">
        <f>365/D14</f>
        <v>0.97855227882037532</v>
      </c>
    </row>
    <row r="15" spans="1:6">
      <c r="B15" s="59"/>
    </row>
    <row r="16" spans="1:6" ht="42.6" customHeight="1">
      <c r="A16" s="226" t="s">
        <v>177</v>
      </c>
      <c r="B16" s="227"/>
      <c r="C16" s="227"/>
      <c r="D16" s="228" t="s">
        <v>180</v>
      </c>
      <c r="E16" s="228"/>
      <c r="F16" s="229"/>
    </row>
    <row r="17" spans="1:6" ht="21">
      <c r="A17" s="165"/>
      <c r="B17" s="166" t="s">
        <v>178</v>
      </c>
      <c r="C17" s="167" t="s">
        <v>179</v>
      </c>
      <c r="D17" s="168"/>
      <c r="E17" s="169" t="s">
        <v>178</v>
      </c>
      <c r="F17" s="170" t="s">
        <v>179</v>
      </c>
    </row>
    <row r="18" spans="1:6">
      <c r="A18" s="62" t="s">
        <v>12</v>
      </c>
      <c r="B18" s="63">
        <f>AVERAGE(B19,B20)</f>
        <v>6739613</v>
      </c>
      <c r="C18" s="124">
        <f>(B18/E8)*365</f>
        <v>1.333044267228976</v>
      </c>
      <c r="D18" s="64" t="s">
        <v>346</v>
      </c>
      <c r="E18" s="65">
        <f>AVERAGE(E19:E20)</f>
        <v>59163620.5</v>
      </c>
      <c r="F18" s="126">
        <f>(E18/E4)*365</f>
        <v>9.7327390990036768</v>
      </c>
    </row>
    <row r="19" spans="1:6" ht="28.8">
      <c r="A19" s="66" t="s">
        <v>181</v>
      </c>
      <c r="B19" s="67">
        <v>6995927</v>
      </c>
      <c r="C19" s="125"/>
      <c r="D19" s="68" t="s">
        <v>182</v>
      </c>
      <c r="E19" s="70">
        <v>73860933</v>
      </c>
      <c r="F19" s="127"/>
    </row>
    <row r="20" spans="1:6" ht="28.8">
      <c r="A20" s="66" t="s">
        <v>183</v>
      </c>
      <c r="B20" s="67">
        <v>6483299</v>
      </c>
      <c r="C20" s="125"/>
      <c r="D20" s="68" t="s">
        <v>184</v>
      </c>
      <c r="E20" s="70">
        <v>44466308</v>
      </c>
      <c r="F20" s="127"/>
    </row>
    <row r="21" spans="1:6">
      <c r="A21" s="62" t="s">
        <v>343</v>
      </c>
      <c r="B21" s="63">
        <f>AVERAGE(B22,B23)</f>
        <v>73878155.5</v>
      </c>
      <c r="C21" s="124">
        <f>(B21/E5)*365</f>
        <v>15.926831203902966</v>
      </c>
      <c r="D21" s="69" t="s">
        <v>185</v>
      </c>
      <c r="E21" s="65">
        <f>AVERAGE(E22,E23)</f>
        <v>189545466.5</v>
      </c>
      <c r="F21" s="126">
        <f>(E21/E8)*365</f>
        <v>37.490653765589649</v>
      </c>
    </row>
    <row r="22" spans="1:6" ht="28.8">
      <c r="A22" s="66" t="s">
        <v>186</v>
      </c>
      <c r="B22" s="67">
        <v>67831061</v>
      </c>
      <c r="C22" s="125"/>
      <c r="D22" s="68" t="s">
        <v>187</v>
      </c>
      <c r="E22" s="70">
        <v>149277468</v>
      </c>
      <c r="F22" s="127"/>
    </row>
    <row r="23" spans="1:6" ht="28.8">
      <c r="A23" s="66" t="s">
        <v>188</v>
      </c>
      <c r="B23" s="67">
        <v>79925250</v>
      </c>
      <c r="C23" s="125"/>
      <c r="D23" s="68" t="s">
        <v>189</v>
      </c>
      <c r="E23" s="70">
        <v>229813465</v>
      </c>
      <c r="F23" s="127"/>
    </row>
    <row r="24" spans="1:6" ht="30" customHeight="1">
      <c r="A24" s="62" t="s">
        <v>14</v>
      </c>
      <c r="B24" s="63">
        <f>AVERAGE(B25,B26)</f>
        <v>11297286.5</v>
      </c>
      <c r="C24" s="124">
        <f>(B24/E5)*365</f>
        <v>2.4354963105113216</v>
      </c>
      <c r="D24" s="64" t="s">
        <v>347</v>
      </c>
      <c r="E24" s="65">
        <f>AVERAGE(E25,E26)</f>
        <v>26365282</v>
      </c>
      <c r="F24" s="126">
        <f>(E24/E8)*365</f>
        <v>5.2148525477613195</v>
      </c>
    </row>
    <row r="25" spans="1:6" ht="30" customHeight="1">
      <c r="A25" s="66" t="s">
        <v>190</v>
      </c>
      <c r="B25" s="67">
        <v>8801022</v>
      </c>
      <c r="C25" s="125"/>
      <c r="D25" s="71" t="s">
        <v>191</v>
      </c>
      <c r="E25" s="70">
        <v>25064417</v>
      </c>
      <c r="F25" s="127"/>
    </row>
    <row r="26" spans="1:6" ht="32.4" customHeight="1">
      <c r="A26" s="66" t="s">
        <v>192</v>
      </c>
      <c r="B26" s="67">
        <v>13793551</v>
      </c>
      <c r="C26" s="125"/>
      <c r="D26" s="71" t="s">
        <v>193</v>
      </c>
      <c r="E26" s="70">
        <v>27666147</v>
      </c>
      <c r="F26" s="61"/>
    </row>
    <row r="27" spans="1:6" ht="34.200000000000003" customHeight="1" thickBot="1">
      <c r="A27" s="62" t="s">
        <v>344</v>
      </c>
      <c r="B27" s="63">
        <f>AVERAGE(B29,B28)</f>
        <v>28829951</v>
      </c>
      <c r="C27" s="124">
        <f>(B27/E8)*365</f>
        <v>5.7023453579667382</v>
      </c>
      <c r="D27" s="171" t="s">
        <v>265</v>
      </c>
      <c r="E27" s="172"/>
      <c r="F27" s="173">
        <f>SUM(F18,F21,F24)</f>
        <v>52.43824541235464</v>
      </c>
    </row>
    <row r="28" spans="1:6" ht="28.8">
      <c r="A28" s="66" t="s">
        <v>194</v>
      </c>
      <c r="B28" s="67">
        <v>25431978</v>
      </c>
      <c r="C28" s="125"/>
    </row>
    <row r="29" spans="1:6" ht="28.8">
      <c r="A29" s="66" t="s">
        <v>195</v>
      </c>
      <c r="B29" s="67">
        <v>32227924</v>
      </c>
      <c r="C29" s="125"/>
      <c r="E29" s="122" t="s">
        <v>196</v>
      </c>
      <c r="F29" s="123">
        <f>C33-F27</f>
        <v>31.225301646337037</v>
      </c>
    </row>
    <row r="30" spans="1:6" ht="28.8">
      <c r="A30" s="62" t="s">
        <v>345</v>
      </c>
      <c r="B30" s="63">
        <f>AVERAGE(B32,B31)</f>
        <v>354187800</v>
      </c>
      <c r="C30" s="124">
        <f>(B30/E4)*365</f>
        <v>58.265829919081675</v>
      </c>
    </row>
    <row r="31" spans="1:6">
      <c r="A31" s="66" t="s">
        <v>197</v>
      </c>
      <c r="B31" s="67">
        <v>338305349</v>
      </c>
      <c r="C31" s="60"/>
    </row>
    <row r="32" spans="1:6">
      <c r="A32" s="66" t="s">
        <v>198</v>
      </c>
      <c r="B32" s="67">
        <v>370070251</v>
      </c>
      <c r="C32" s="60"/>
    </row>
    <row r="33" spans="1:3" ht="16.2" thickBot="1">
      <c r="A33" s="174" t="s">
        <v>265</v>
      </c>
      <c r="B33" s="175"/>
      <c r="C33" s="176">
        <f>SUM(C30,C27,C24,C21,C18)</f>
        <v>83.663547058691677</v>
      </c>
    </row>
  </sheetData>
  <mergeCells count="2">
    <mergeCell ref="A16:C16"/>
    <mergeCell ref="D16:F16"/>
  </mergeCells>
  <hyperlinks>
    <hyperlink ref="C1" location="readme!A1" display="Содержание" xr:uid="{BD3FF8C8-68E6-4E59-A9B7-913186B4F9FF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B619E-E1FB-4A51-B2CA-A64FF2CCD738}">
  <sheetPr>
    <outlinePr summaryBelow="0" summaryRight="0"/>
  </sheetPr>
  <dimension ref="A1:G48"/>
  <sheetViews>
    <sheetView zoomScale="74" workbookViewId="0">
      <selection activeCell="B5" sqref="B5"/>
    </sheetView>
  </sheetViews>
  <sheetFormatPr defaultColWidth="12.6640625" defaultRowHeight="15.75" customHeight="1"/>
  <cols>
    <col min="1" max="1" width="21.21875" style="45" customWidth="1"/>
    <col min="2" max="2" width="15.44140625" style="45" bestFit="1" customWidth="1"/>
    <col min="3" max="3" width="9.5546875" style="45" bestFit="1" customWidth="1"/>
    <col min="4" max="4" width="18.6640625" style="45" customWidth="1"/>
    <col min="5" max="5" width="19.33203125" style="45" customWidth="1"/>
    <col min="6" max="6" width="14.21875" style="45" customWidth="1"/>
    <col min="7" max="16384" width="12.6640625" style="45"/>
  </cols>
  <sheetData>
    <row r="1" spans="1:7" s="46" customFormat="1" ht="15.75" customHeight="1">
      <c r="A1" s="128" t="s">
        <v>261</v>
      </c>
      <c r="B1" s="128"/>
      <c r="C1" s="186" t="s">
        <v>314</v>
      </c>
    </row>
    <row r="2" spans="1:7" s="46" customFormat="1" ht="15.75" customHeight="1"/>
    <row r="3" spans="1:7" ht="21">
      <c r="A3" s="181" t="s">
        <v>199</v>
      </c>
      <c r="B3" s="182">
        <f>Баланс!B17</f>
        <v>117322239</v>
      </c>
      <c r="C3" s="183" t="s">
        <v>200</v>
      </c>
      <c r="D3" s="181" t="s">
        <v>201</v>
      </c>
      <c r="E3" s="182">
        <v>73860933</v>
      </c>
    </row>
    <row r="4" spans="1:7" ht="21">
      <c r="A4" s="181" t="s">
        <v>202</v>
      </c>
      <c r="B4" s="182">
        <v>278470794</v>
      </c>
      <c r="C4" s="183" t="s">
        <v>200</v>
      </c>
      <c r="D4" s="181" t="s">
        <v>203</v>
      </c>
      <c r="E4" s="182">
        <f>27666147+37541421</f>
        <v>65207568</v>
      </c>
    </row>
    <row r="5" spans="1:7" ht="21">
      <c r="A5" s="181" t="s">
        <v>204</v>
      </c>
      <c r="B5" s="182">
        <f>32227924+4060153388</f>
        <v>4092381312</v>
      </c>
      <c r="C5" s="183" t="s">
        <v>200</v>
      </c>
      <c r="D5" s="181" t="s">
        <v>205</v>
      </c>
      <c r="E5" s="182">
        <v>229813465</v>
      </c>
    </row>
    <row r="6" spans="1:7" ht="21">
      <c r="A6" s="181" t="s">
        <v>206</v>
      </c>
      <c r="B6" s="182">
        <f>8306125654-SUM(B3:B5)</f>
        <v>3817951309</v>
      </c>
      <c r="C6" s="183" t="s">
        <v>207</v>
      </c>
      <c r="D6" s="181" t="s">
        <v>208</v>
      </c>
      <c r="E6" s="182">
        <f>8306125654 - SUM(E3:E5)</f>
        <v>7937243688</v>
      </c>
    </row>
    <row r="7" spans="1:7" ht="14.4">
      <c r="A7" s="72"/>
      <c r="B7" s="72"/>
    </row>
    <row r="8" spans="1:7" ht="17.25" customHeight="1">
      <c r="A8" s="184" t="s">
        <v>209</v>
      </c>
      <c r="B8" s="184">
        <v>2131856098</v>
      </c>
    </row>
    <row r="9" spans="1:7" ht="15.6">
      <c r="A9" s="184" t="s">
        <v>210</v>
      </c>
      <c r="B9" s="184">
        <v>391256795</v>
      </c>
      <c r="G9" s="74"/>
    </row>
    <row r="10" spans="1:7" ht="9.6" customHeight="1" thickBot="1">
      <c r="A10" s="73"/>
      <c r="B10" s="72"/>
    </row>
    <row r="11" spans="1:7" ht="13.8">
      <c r="A11" s="75"/>
      <c r="B11" s="76" t="s">
        <v>211</v>
      </c>
      <c r="C11" s="77" t="s">
        <v>212</v>
      </c>
    </row>
    <row r="12" spans="1:7" ht="27.6">
      <c r="A12" s="145" t="s">
        <v>122</v>
      </c>
      <c r="B12" s="142">
        <f>B8/B9</f>
        <v>5.4487388468230948</v>
      </c>
      <c r="C12" s="78">
        <v>1.05</v>
      </c>
    </row>
    <row r="13" spans="1:7" ht="41.4">
      <c r="A13" s="145" t="s">
        <v>124</v>
      </c>
      <c r="B13" s="142">
        <f>(B3+B4+B5)/B9</f>
        <v>11.471172903207981</v>
      </c>
      <c r="C13" s="78">
        <v>0.04</v>
      </c>
    </row>
    <row r="14" spans="1:7" ht="42" thickBot="1">
      <c r="A14" s="146" t="s">
        <v>213</v>
      </c>
      <c r="B14" s="143">
        <f>B3/B9</f>
        <v>0.29985993981267467</v>
      </c>
      <c r="C14" s="79">
        <v>0.87</v>
      </c>
    </row>
    <row r="15" spans="1:7" ht="10.199999999999999" customHeight="1" thickBot="1"/>
    <row r="16" spans="1:7" ht="13.8">
      <c r="A16" s="75"/>
      <c r="B16" s="80" t="s">
        <v>214</v>
      </c>
      <c r="C16" s="77" t="s">
        <v>215</v>
      </c>
    </row>
    <row r="17" spans="1:4" ht="15.75" customHeight="1">
      <c r="A17" s="147" t="s">
        <v>216</v>
      </c>
      <c r="B17" s="81">
        <f>2730653483-266497854</f>
        <v>2464155629</v>
      </c>
      <c r="C17" s="82">
        <f t="shared" ref="C17:C21" si="0">B17/1000000</f>
        <v>2464.1556289999999</v>
      </c>
    </row>
    <row r="18" spans="1:4" ht="13.8">
      <c r="A18" s="147" t="s">
        <v>217</v>
      </c>
      <c r="B18" s="81">
        <f>B8-B9</f>
        <v>1740599303</v>
      </c>
      <c r="C18" s="82">
        <f t="shared" si="0"/>
        <v>1740.599303</v>
      </c>
    </row>
    <row r="19" spans="1:4" ht="13.8">
      <c r="A19" s="147" t="s">
        <v>218</v>
      </c>
      <c r="B19" s="81">
        <f>B18-B17</f>
        <v>-723556326</v>
      </c>
      <c r="C19" s="82">
        <f t="shared" si="0"/>
        <v>-723.55632600000001</v>
      </c>
    </row>
    <row r="20" spans="1:4" ht="13.8">
      <c r="A20" s="147" t="s">
        <v>219</v>
      </c>
      <c r="B20" s="81">
        <f>1693087998+116173283+36107853+269647000+B19</f>
        <v>1391459808</v>
      </c>
      <c r="C20" s="82">
        <f t="shared" si="0"/>
        <v>1391.4598080000001</v>
      </c>
    </row>
    <row r="21" spans="1:4" ht="13.8">
      <c r="A21" s="148" t="s">
        <v>220</v>
      </c>
      <c r="B21" s="81">
        <f>B20/365</f>
        <v>3812218.6520547946</v>
      </c>
      <c r="C21" s="82">
        <f t="shared" si="0"/>
        <v>3.8122186520547947</v>
      </c>
    </row>
    <row r="22" spans="1:4" ht="18" customHeight="1" thickBot="1">
      <c r="A22" s="146" t="s">
        <v>221</v>
      </c>
      <c r="B22" s="144">
        <f>B3/B21</f>
        <v>30.775317396016369</v>
      </c>
      <c r="C22" s="83"/>
    </row>
    <row r="23" spans="1:4" ht="13.8"/>
    <row r="24" spans="1:4" ht="14.4">
      <c r="A24" s="149" t="s">
        <v>255</v>
      </c>
    </row>
    <row r="25" spans="1:4" ht="13.8">
      <c r="A25" s="84" t="s">
        <v>222</v>
      </c>
      <c r="B25" s="85">
        <f>1693087998+116173283+36107853</f>
        <v>1845369134</v>
      </c>
      <c r="C25" s="86"/>
    </row>
    <row r="26" spans="1:4" ht="13.8">
      <c r="B26" s="86" t="s">
        <v>117</v>
      </c>
      <c r="C26" s="74"/>
    </row>
    <row r="27" spans="1:4" ht="13.8">
      <c r="A27" s="74" t="s">
        <v>223</v>
      </c>
      <c r="B27" s="87">
        <f>(B31/2218771228)*365</f>
        <v>58.265829919081675</v>
      </c>
      <c r="C27" s="74"/>
    </row>
    <row r="28" spans="1:4" ht="13.8">
      <c r="A28" s="88" t="s">
        <v>224</v>
      </c>
      <c r="B28" s="87">
        <f>(B32/B25)*365</f>
        <v>60.617023141344035</v>
      </c>
      <c r="C28" s="74"/>
      <c r="D28" s="74"/>
    </row>
    <row r="29" spans="1:4" ht="27.6">
      <c r="A29" s="88" t="s">
        <v>225</v>
      </c>
      <c r="B29" s="87">
        <f>(B33/B25)*365</f>
        <v>1.333044267228976</v>
      </c>
      <c r="C29" s="74"/>
    </row>
    <row r="30" spans="1:4" ht="27.6">
      <c r="A30" s="88" t="s">
        <v>226</v>
      </c>
      <c r="B30" s="87">
        <f>(B34/2218771228)*365</f>
        <v>2.7220719846111145</v>
      </c>
      <c r="C30" s="74"/>
    </row>
    <row r="31" spans="1:4" ht="13.8">
      <c r="A31" s="88" t="s">
        <v>227</v>
      </c>
      <c r="B31" s="89">
        <f>(370070251+338305349)/2</f>
        <v>354187800</v>
      </c>
      <c r="C31" s="74"/>
    </row>
    <row r="32" spans="1:4" ht="13.8">
      <c r="A32" s="88" t="s">
        <v>228</v>
      </c>
      <c r="B32" s="89">
        <f>(368881966+244053834)/2</f>
        <v>306467900</v>
      </c>
      <c r="C32" s="74"/>
    </row>
    <row r="33" spans="1:3" ht="27.6">
      <c r="A33" s="88" t="s">
        <v>229</v>
      </c>
      <c r="B33" s="89">
        <f>(6483299+6995927)/2</f>
        <v>6739613</v>
      </c>
      <c r="C33" s="74"/>
    </row>
    <row r="34" spans="1:3" ht="27.6">
      <c r="A34" s="88" t="s">
        <v>230</v>
      </c>
      <c r="B34" s="89">
        <v>16547000</v>
      </c>
      <c r="C34" s="74"/>
    </row>
    <row r="35" spans="1:3" ht="41.4">
      <c r="A35" s="88" t="s">
        <v>231</v>
      </c>
      <c r="B35" s="89">
        <f>(128911694+13793551+107757259+8801022)/2</f>
        <v>129631763</v>
      </c>
      <c r="C35" s="74"/>
    </row>
    <row r="36" spans="1:3" ht="38.4" customHeight="1">
      <c r="A36" s="88" t="s">
        <v>232</v>
      </c>
      <c r="B36" s="89">
        <f>(B31+B34)*(B28+B29)/(B27+B30)</f>
        <v>376583635.99671876</v>
      </c>
      <c r="C36" s="74"/>
    </row>
    <row r="37" spans="1:3" ht="42" customHeight="1">
      <c r="A37" s="88" t="s">
        <v>233</v>
      </c>
      <c r="B37" s="89">
        <f>MAX(0,(B32+B33)-B36)</f>
        <v>0</v>
      </c>
      <c r="C37" s="74"/>
    </row>
    <row r="38" spans="1:3" ht="41.4">
      <c r="A38" s="88" t="s">
        <v>234</v>
      </c>
      <c r="B38" s="89">
        <f>B35+B37</f>
        <v>129631763</v>
      </c>
      <c r="C38" s="74"/>
    </row>
    <row r="39" spans="1:3" ht="41.4">
      <c r="A39" s="88" t="s">
        <v>235</v>
      </c>
      <c r="B39" s="89">
        <f>(B8+4363312)/2</f>
        <v>1068109705</v>
      </c>
      <c r="C39" s="74"/>
    </row>
    <row r="40" spans="1:3" ht="27.6">
      <c r="A40" s="88" t="s">
        <v>236</v>
      </c>
      <c r="B40" s="89">
        <f>B39-B38</f>
        <v>938477942</v>
      </c>
      <c r="C40" s="74"/>
    </row>
    <row r="41" spans="1:3" ht="51" customHeight="1">
      <c r="A41" s="150" t="s">
        <v>237</v>
      </c>
      <c r="B41" s="151">
        <f>B39/B40</f>
        <v>1.1381297920798654</v>
      </c>
    </row>
    <row r="42" spans="1:3" ht="38.4" customHeight="1"/>
    <row r="43" spans="1:3" ht="105" customHeight="1"/>
    <row r="44" spans="1:3" ht="69.599999999999994" customHeight="1"/>
    <row r="45" spans="1:3" ht="53.4" customHeight="1"/>
    <row r="46" spans="1:3" ht="54.6" customHeight="1"/>
    <row r="47" spans="1:3" ht="39" customHeight="1"/>
    <row r="48" spans="1:3" ht="38.4" customHeight="1"/>
  </sheetData>
  <hyperlinks>
    <hyperlink ref="C1" location="readme!A1" display="Содержание" xr:uid="{5CF55F1D-75B0-4F96-B952-F04525C6575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BDEB5-E3FF-44A2-8208-2B34CCB95EC8}">
  <dimension ref="A1:G62"/>
  <sheetViews>
    <sheetView topLeftCell="A28" zoomScale="63" zoomScaleNormal="85" workbookViewId="0">
      <selection activeCell="B42" sqref="B42"/>
    </sheetView>
  </sheetViews>
  <sheetFormatPr defaultRowHeight="14.4"/>
  <cols>
    <col min="1" max="1" width="32.109375" bestFit="1" customWidth="1"/>
    <col min="2" max="2" width="17.88671875" customWidth="1"/>
    <col min="3" max="3" width="15.88671875" customWidth="1"/>
    <col min="4" max="4" width="13.33203125" customWidth="1"/>
    <col min="5" max="5" width="33.6640625" customWidth="1"/>
    <col min="6" max="6" width="15.88671875" customWidth="1"/>
    <col min="7" max="7" width="27" customWidth="1"/>
    <col min="8" max="8" width="15.88671875" bestFit="1" customWidth="1"/>
  </cols>
  <sheetData>
    <row r="1" spans="1:6" ht="21">
      <c r="A1" s="130" t="s">
        <v>262</v>
      </c>
      <c r="B1" s="129"/>
      <c r="C1" s="186" t="s">
        <v>314</v>
      </c>
    </row>
    <row r="2" spans="1:6" ht="21">
      <c r="A2" s="37"/>
    </row>
    <row r="3" spans="1:6" s="22" customFormat="1" ht="16.2" thickBot="1">
      <c r="A3" s="97" t="s">
        <v>257</v>
      </c>
      <c r="B3"/>
      <c r="C3"/>
      <c r="E3" s="97" t="s">
        <v>48</v>
      </c>
      <c r="F3"/>
    </row>
    <row r="4" spans="1:6" ht="31.8" thickBot="1">
      <c r="A4" s="1" t="s">
        <v>0</v>
      </c>
      <c r="B4" s="2" t="s">
        <v>1</v>
      </c>
      <c r="C4" s="2" t="s">
        <v>2</v>
      </c>
      <c r="E4" s="16" t="s">
        <v>0</v>
      </c>
      <c r="F4" s="95" t="s">
        <v>258</v>
      </c>
    </row>
    <row r="5" spans="1:6" ht="16.2" thickBot="1">
      <c r="A5" s="230" t="s">
        <v>3</v>
      </c>
      <c r="B5" s="231"/>
      <c r="C5" s="232"/>
      <c r="E5" s="16" t="s">
        <v>49</v>
      </c>
      <c r="F5" s="4">
        <v>2218771228</v>
      </c>
    </row>
    <row r="6" spans="1:6" ht="16.2" thickBot="1">
      <c r="A6" s="233" t="s">
        <v>4</v>
      </c>
      <c r="B6" s="234"/>
      <c r="C6" s="235"/>
      <c r="E6" s="16" t="s">
        <v>50</v>
      </c>
      <c r="F6" s="4">
        <v>-1693087998</v>
      </c>
    </row>
    <row r="7" spans="1:6" ht="16.2" thickBot="1">
      <c r="A7" s="3" t="s">
        <v>5</v>
      </c>
      <c r="B7" s="4">
        <f>258991+80199+118143995</f>
        <v>118483185</v>
      </c>
      <c r="C7" s="4">
        <v>100441138</v>
      </c>
      <c r="E7" s="16" t="s">
        <v>51</v>
      </c>
      <c r="F7" s="4">
        <v>-36107853</v>
      </c>
    </row>
    <row r="8" spans="1:6" ht="16.2" thickBot="1">
      <c r="A8" s="3" t="s">
        <v>6</v>
      </c>
      <c r="B8" s="4">
        <f>1780998859-B9</f>
        <v>1683733571</v>
      </c>
      <c r="C8" s="4">
        <v>1554602062</v>
      </c>
      <c r="E8" s="16" t="s">
        <v>52</v>
      </c>
      <c r="F8" s="4">
        <v>-116173283</v>
      </c>
    </row>
    <row r="9" spans="1:6" ht="31.8" thickBot="1">
      <c r="A9" s="6" t="s">
        <v>7</v>
      </c>
      <c r="B9" s="7">
        <v>97265288</v>
      </c>
      <c r="C9" s="8">
        <v>88890783</v>
      </c>
      <c r="E9" s="16" t="s">
        <v>53</v>
      </c>
      <c r="F9" s="4">
        <v>373402094</v>
      </c>
    </row>
    <row r="10" spans="1:6" ht="31.8" thickBot="1">
      <c r="A10" s="3" t="s">
        <v>8</v>
      </c>
      <c r="B10" s="9">
        <v>4157418676</v>
      </c>
      <c r="C10" s="4">
        <v>2147558760</v>
      </c>
      <c r="E10" s="16" t="s">
        <v>54</v>
      </c>
      <c r="F10" s="4">
        <v>0</v>
      </c>
    </row>
    <row r="11" spans="1:6" ht="16.2" thickBot="1">
      <c r="A11" s="3" t="s">
        <v>9</v>
      </c>
      <c r="B11" s="4">
        <f xml:space="preserve"> 68671352+48697484+85116158</f>
        <v>202484994</v>
      </c>
      <c r="C11" s="4">
        <v>144158282</v>
      </c>
      <c r="E11" s="16" t="s">
        <v>55</v>
      </c>
      <c r="F11" s="4">
        <v>248629416</v>
      </c>
    </row>
    <row r="12" spans="1:6" ht="16.2" thickBot="1">
      <c r="A12" s="10" t="s">
        <v>10</v>
      </c>
      <c r="B12" s="11">
        <f>SUM(B7:B11)</f>
        <v>6259385714</v>
      </c>
      <c r="C12" s="11">
        <f>SUM(C7:C11)</f>
        <v>4035651025</v>
      </c>
      <c r="E12" s="16" t="s">
        <v>56</v>
      </c>
      <c r="F12" s="4">
        <v>4053633</v>
      </c>
    </row>
    <row r="13" spans="1:6" ht="16.2" thickBot="1">
      <c r="A13" s="202" t="s">
        <v>11</v>
      </c>
      <c r="B13" s="203"/>
      <c r="C13" s="204"/>
      <c r="E13" s="16" t="s">
        <v>57</v>
      </c>
      <c r="F13" s="4">
        <v>1778679761</v>
      </c>
    </row>
    <row r="14" spans="1:6" ht="16.2" thickBot="1">
      <c r="A14" s="3" t="s">
        <v>12</v>
      </c>
      <c r="B14" s="4">
        <v>6483299</v>
      </c>
      <c r="C14" s="4">
        <v>6995927</v>
      </c>
      <c r="E14" s="16" t="s">
        <v>58</v>
      </c>
      <c r="F14" s="4">
        <v>-800740586</v>
      </c>
    </row>
    <row r="15" spans="1:6" ht="16.2" thickBot="1">
      <c r="A15" s="3" t="s">
        <v>13</v>
      </c>
      <c r="B15" s="4">
        <f>128911694*0.62</f>
        <v>79925250.280000001</v>
      </c>
      <c r="C15" s="4">
        <v>67831061</v>
      </c>
      <c r="E15" s="16" t="s">
        <v>59</v>
      </c>
      <c r="F15" s="4">
        <v>1604024318</v>
      </c>
    </row>
    <row r="16" spans="1:6" ht="16.2" thickBot="1">
      <c r="A16" s="3" t="s">
        <v>14</v>
      </c>
      <c r="B16" s="4">
        <f>128911694*0.107</f>
        <v>13793551.257999999</v>
      </c>
      <c r="C16" s="4">
        <v>8801022</v>
      </c>
      <c r="E16" s="16" t="s">
        <v>60</v>
      </c>
      <c r="F16" s="4">
        <v>-269647000</v>
      </c>
    </row>
    <row r="17" spans="1:7" ht="16.2" thickBot="1">
      <c r="A17" s="3" t="s">
        <v>15</v>
      </c>
      <c r="B17" s="4">
        <f>128911694*0.25</f>
        <v>32227923.5</v>
      </c>
      <c r="C17" s="4">
        <v>25431978</v>
      </c>
      <c r="E17" s="16" t="s">
        <v>61</v>
      </c>
      <c r="F17" s="4">
        <v>1334377318</v>
      </c>
    </row>
    <row r="18" spans="1:7" ht="16.2" thickBot="1">
      <c r="A18" s="3" t="s">
        <v>16</v>
      </c>
      <c r="B18" s="4">
        <f>370070251-B14-85116158</f>
        <v>278470794</v>
      </c>
      <c r="C18" s="4">
        <v>241855930</v>
      </c>
    </row>
    <row r="19" spans="1:7" ht="31.8" thickBot="1">
      <c r="A19" s="3" t="s">
        <v>17</v>
      </c>
      <c r="B19" s="4">
        <v>117322239</v>
      </c>
      <c r="C19" s="4">
        <v>103639491</v>
      </c>
      <c r="E19" s="152" t="s">
        <v>216</v>
      </c>
      <c r="F19" s="153">
        <f>2730653483-266497854</f>
        <v>2464155629</v>
      </c>
    </row>
    <row r="20" spans="1:7" ht="16.2" thickBot="1">
      <c r="A20" s="3" t="s">
        <v>18</v>
      </c>
      <c r="B20" s="4">
        <f>8292304+4527335+1502886150+2811094</f>
        <v>1518516883</v>
      </c>
      <c r="C20" s="4">
        <v>2186644582</v>
      </c>
      <c r="E20" s="152" t="s">
        <v>217</v>
      </c>
      <c r="F20" s="153">
        <f>B16-B17</f>
        <v>-18434372.241999999</v>
      </c>
    </row>
    <row r="21" spans="1:7" ht="16.2" thickBot="1">
      <c r="A21" s="10" t="s">
        <v>19</v>
      </c>
      <c r="B21" s="11">
        <f>SUM(B14:B20)</f>
        <v>2046739940.0380001</v>
      </c>
      <c r="C21" s="11">
        <f>SUM(C14:C20)</f>
        <v>2641199991</v>
      </c>
      <c r="E21" s="152" t="s">
        <v>218</v>
      </c>
      <c r="F21" s="153">
        <f>F20-F19</f>
        <v>-2482590001.2420001</v>
      </c>
    </row>
    <row r="22" spans="1:7" ht="16.2" thickBot="1">
      <c r="A22" s="10" t="s">
        <v>20</v>
      </c>
      <c r="B22" s="11">
        <f>B12+B21</f>
        <v>8306125654.0380001</v>
      </c>
      <c r="C22" s="11">
        <f>C12+C21</f>
        <v>6676851016</v>
      </c>
    </row>
    <row r="23" spans="1:7" ht="16.2" thickBot="1">
      <c r="A23" s="236" t="s">
        <v>21</v>
      </c>
      <c r="B23" s="237"/>
      <c r="C23" s="238"/>
    </row>
    <row r="24" spans="1:7" ht="16.2" thickBot="1">
      <c r="A24" s="202" t="s">
        <v>22</v>
      </c>
      <c r="B24" s="203"/>
      <c r="C24" s="204"/>
    </row>
    <row r="25" spans="1:7" ht="16.2" thickBot="1">
      <c r="A25" s="3" t="s">
        <v>23</v>
      </c>
      <c r="B25" s="4">
        <f>43427993+192511786+317163645</f>
        <v>553103424</v>
      </c>
      <c r="C25" s="4">
        <v>540262471</v>
      </c>
    </row>
    <row r="26" spans="1:7" ht="16.2" thickBot="1">
      <c r="A26" s="3" t="s">
        <v>24</v>
      </c>
      <c r="B26" s="4">
        <f>6514198+6913861929</f>
        <v>6920376127</v>
      </c>
      <c r="C26" s="4">
        <v>5616029413</v>
      </c>
      <c r="G26" s="30"/>
    </row>
    <row r="27" spans="1:7" ht="16.2" thickBot="1">
      <c r="A27" s="10" t="s">
        <v>25</v>
      </c>
      <c r="B27" s="11">
        <f>SUM(B25:B26)</f>
        <v>7473479551</v>
      </c>
      <c r="C27" s="11">
        <f>SUM(C25:C26)</f>
        <v>6156291884</v>
      </c>
      <c r="G27" s="30"/>
    </row>
    <row r="28" spans="1:7" ht="16.2" thickBot="1">
      <c r="A28" s="202" t="s">
        <v>26</v>
      </c>
      <c r="B28" s="203"/>
      <c r="C28" s="204"/>
    </row>
    <row r="29" spans="1:7" ht="16.2" thickBot="1">
      <c r="A29" s="3" t="s">
        <v>27</v>
      </c>
      <c r="B29" s="4">
        <v>438844622</v>
      </c>
      <c r="C29" s="4">
        <v>254061278</v>
      </c>
    </row>
    <row r="30" spans="1:7" ht="16.2" thickBot="1">
      <c r="A30" s="202" t="s">
        <v>28</v>
      </c>
      <c r="B30" s="203"/>
      <c r="C30" s="204"/>
    </row>
    <row r="31" spans="1:7" ht="16.2" thickBot="1">
      <c r="A31" s="3" t="s">
        <v>29</v>
      </c>
      <c r="B31" s="4" t="s">
        <v>30</v>
      </c>
      <c r="C31" s="4" t="s">
        <v>30</v>
      </c>
    </row>
    <row r="32" spans="1:7" ht="31.8" thickBot="1">
      <c r="A32" s="3" t="s">
        <v>31</v>
      </c>
      <c r="B32" s="4">
        <f>368881966*0.075</f>
        <v>27666147.449999999</v>
      </c>
      <c r="C32" s="4">
        <v>25064417</v>
      </c>
    </row>
    <row r="33" spans="1:3" ht="16.2" thickBot="1">
      <c r="A33" s="3" t="s">
        <v>32</v>
      </c>
      <c r="B33" s="4">
        <v>73860933</v>
      </c>
      <c r="C33" s="4">
        <v>44466308</v>
      </c>
    </row>
    <row r="34" spans="1:3" ht="31.8" thickBot="1">
      <c r="A34" s="3" t="s">
        <v>33</v>
      </c>
      <c r="B34" s="4">
        <f>368881966*0.623</f>
        <v>229813464.81799999</v>
      </c>
      <c r="C34" s="4">
        <v>149277468</v>
      </c>
    </row>
    <row r="35" spans="1:3" ht="16.2" thickBot="1">
      <c r="A35" s="3" t="s">
        <v>34</v>
      </c>
      <c r="B35" s="4" t="s">
        <v>30</v>
      </c>
      <c r="C35" s="13" t="s">
        <v>30</v>
      </c>
    </row>
    <row r="36" spans="1:3" ht="31.8" thickBot="1">
      <c r="A36" s="3" t="s">
        <v>35</v>
      </c>
      <c r="B36" s="4">
        <f>24840752+6277910+6440000-17241+21836593+524983+13253+2544686</f>
        <v>62460936</v>
      </c>
      <c r="C36" s="4">
        <f>21248154+1182725+13141+25245641</f>
        <v>47689661</v>
      </c>
    </row>
    <row r="37" spans="1:3" ht="31.8" thickBot="1">
      <c r="A37" s="3" t="s">
        <v>36</v>
      </c>
      <c r="B37" s="4">
        <f>SUM(B31:B36)</f>
        <v>393801481.26800001</v>
      </c>
      <c r="C37" s="4">
        <f>SUM(C31:C36)</f>
        <v>266497854</v>
      </c>
    </row>
    <row r="38" spans="1:3" ht="16.2" thickBot="1">
      <c r="A38" s="10" t="s">
        <v>37</v>
      </c>
      <c r="B38" s="11">
        <f>B37+B29</f>
        <v>832646103.26800001</v>
      </c>
      <c r="C38" s="11">
        <f>C37+C29</f>
        <v>520559132</v>
      </c>
    </row>
    <row r="39" spans="1:3" ht="16.2" thickBot="1">
      <c r="A39" s="10" t="s">
        <v>20</v>
      </c>
      <c r="B39" s="11">
        <f>SUM(B38,B27)</f>
        <v>8306125654.2679996</v>
      </c>
      <c r="C39" s="11">
        <f>SUM(C38,C27)</f>
        <v>6676851016</v>
      </c>
    </row>
    <row r="42" spans="1:3" ht="28.8">
      <c r="A42" s="94" t="s">
        <v>238</v>
      </c>
      <c r="B42" s="121">
        <v>0.2</v>
      </c>
    </row>
    <row r="43" spans="1:3" ht="28.8">
      <c r="A43" s="94" t="s">
        <v>240</v>
      </c>
      <c r="B43" s="120">
        <f>B27/B38</f>
        <v>8.9755774051758763</v>
      </c>
    </row>
    <row r="44" spans="1:3" ht="43.2">
      <c r="A44" s="94" t="s">
        <v>241</v>
      </c>
      <c r="B44" s="121">
        <f>B27/B39</f>
        <v>0.89975517612833666</v>
      </c>
    </row>
    <row r="45" spans="1:3">
      <c r="A45" s="91"/>
      <c r="B45" s="121"/>
    </row>
    <row r="46" spans="1:3" ht="15.6">
      <c r="A46" s="107" t="s">
        <v>242</v>
      </c>
    </row>
    <row r="47" spans="1:3" ht="28.8">
      <c r="A47" s="91" t="s">
        <v>243</v>
      </c>
      <c r="B47" s="90">
        <f>B8+B9</f>
        <v>1780998859</v>
      </c>
      <c r="C47" s="92" t="s">
        <v>239</v>
      </c>
    </row>
    <row r="48" spans="1:3" ht="43.2">
      <c r="A48" s="91" t="s">
        <v>244</v>
      </c>
      <c r="B48" s="90">
        <f>B15+B16</f>
        <v>93718801.538000003</v>
      </c>
    </row>
    <row r="49" spans="1:3" ht="43.2">
      <c r="A49" s="91" t="s">
        <v>245</v>
      </c>
      <c r="B49" s="90">
        <f>B47+B48</f>
        <v>1874717660.5380001</v>
      </c>
    </row>
    <row r="50" spans="1:3">
      <c r="A50" s="91" t="s">
        <v>246</v>
      </c>
      <c r="B50" s="90">
        <f>B39</f>
        <v>8306125654.2679996</v>
      </c>
    </row>
    <row r="51" spans="1:3" ht="28.8">
      <c r="A51" s="91" t="s">
        <v>247</v>
      </c>
      <c r="B51" s="90">
        <f>B50-B49</f>
        <v>6431407993.7299995</v>
      </c>
    </row>
    <row r="52" spans="1:3" ht="41.4" customHeight="1">
      <c r="A52" s="155" t="s">
        <v>248</v>
      </c>
      <c r="B52" s="156">
        <f>B49/B51</f>
        <v>0.29149412731483815</v>
      </c>
    </row>
    <row r="54" spans="1:3">
      <c r="A54" s="91" t="s">
        <v>131</v>
      </c>
      <c r="B54" t="e">
        <f>-F9/F10</f>
        <v>#DIV/0!</v>
      </c>
      <c r="C54" t="s">
        <v>249</v>
      </c>
    </row>
    <row r="55" spans="1:3">
      <c r="A55" s="94" t="s">
        <v>250</v>
      </c>
      <c r="B55" s="93">
        <f>B21/B22*1.2+F9/B22*3.3+B26/B22*1.4+B25/B38*0.6+F5/B22</f>
        <v>2.2761668969299365</v>
      </c>
    </row>
    <row r="57" spans="1:3" ht="15.6">
      <c r="A57" s="154" t="s">
        <v>251</v>
      </c>
    </row>
    <row r="58" spans="1:3" ht="28.8">
      <c r="A58" s="94" t="s">
        <v>252</v>
      </c>
      <c r="B58" s="93">
        <f>(B26-C26)/F17</f>
        <v>0.97749466841581911</v>
      </c>
    </row>
    <row r="59" spans="1:3" ht="28.8">
      <c r="A59" s="94" t="s">
        <v>253</v>
      </c>
      <c r="B59" s="93">
        <f>F21/(B26-C26)</f>
        <v>-1.903320623723364</v>
      </c>
      <c r="C59" s="58"/>
    </row>
    <row r="60" spans="1:3">
      <c r="A60" s="94" t="s">
        <v>254</v>
      </c>
      <c r="B60" s="93">
        <f>(B27+B29)/B12</f>
        <v>1.2640735903689351</v>
      </c>
    </row>
    <row r="62" spans="1:3" ht="30" customHeight="1"/>
  </sheetData>
  <mergeCells count="7">
    <mergeCell ref="A30:C30"/>
    <mergeCell ref="A5:C5"/>
    <mergeCell ref="A6:C6"/>
    <mergeCell ref="A13:C13"/>
    <mergeCell ref="A23:C23"/>
    <mergeCell ref="A24:C24"/>
    <mergeCell ref="A28:C28"/>
  </mergeCells>
  <hyperlinks>
    <hyperlink ref="C47" r:id="rId1" xr:uid="{77BFAEBE-3D6E-4CC9-BE0C-44F0E0383993}"/>
    <hyperlink ref="C1" location="readme!A1" display="Содержание" xr:uid="{C3AA8F83-6BBD-4529-AF2D-7EBD206306B2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3FEDD-6A41-447E-B5E2-AF328BC538D5}">
  <dimension ref="A1:Q70"/>
  <sheetViews>
    <sheetView topLeftCell="A27" zoomScale="74" zoomScaleNormal="70" workbookViewId="0">
      <selection activeCell="B47" sqref="B47"/>
    </sheetView>
  </sheetViews>
  <sheetFormatPr defaultRowHeight="14.4"/>
  <cols>
    <col min="1" max="1" width="33.109375" customWidth="1"/>
    <col min="2" max="2" width="21.44140625" customWidth="1"/>
    <col min="3" max="3" width="18.44140625" bestFit="1" customWidth="1"/>
    <col min="4" max="4" width="7.44140625" customWidth="1"/>
    <col min="5" max="5" width="31.44140625" customWidth="1"/>
    <col min="6" max="6" width="28.88671875" bestFit="1" customWidth="1"/>
    <col min="7" max="7" width="16" bestFit="1" customWidth="1"/>
    <col min="8" max="8" width="7.6640625" customWidth="1"/>
    <col min="9" max="9" width="8.88671875" hidden="1" customWidth="1"/>
    <col min="10" max="10" width="47.6640625" bestFit="1" customWidth="1"/>
    <col min="11" max="11" width="18.109375" bestFit="1" customWidth="1"/>
    <col min="12" max="12" width="15.109375" bestFit="1" customWidth="1"/>
    <col min="13" max="13" width="45.44140625" bestFit="1" customWidth="1"/>
    <col min="14" max="14" width="13.21875" bestFit="1" customWidth="1"/>
  </cols>
  <sheetData>
    <row r="1" spans="1:17" ht="21">
      <c r="A1" s="130" t="s">
        <v>326</v>
      </c>
      <c r="B1" s="129"/>
      <c r="C1" s="186" t="s">
        <v>314</v>
      </c>
    </row>
    <row r="2" spans="1:17" ht="21">
      <c r="A2" s="37"/>
    </row>
    <row r="3" spans="1:17" s="22" customFormat="1" ht="16.2" thickBot="1">
      <c r="A3" s="97" t="s">
        <v>257</v>
      </c>
      <c r="B3"/>
      <c r="C3"/>
      <c r="E3" s="97" t="s">
        <v>48</v>
      </c>
      <c r="F3"/>
      <c r="G3"/>
    </row>
    <row r="4" spans="1:17" ht="31.8" thickBot="1">
      <c r="A4" s="1" t="s">
        <v>0</v>
      </c>
      <c r="B4" s="2" t="s">
        <v>1</v>
      </c>
      <c r="C4" s="2" t="s">
        <v>2</v>
      </c>
      <c r="E4" s="16" t="s">
        <v>0</v>
      </c>
      <c r="F4" s="95" t="s">
        <v>258</v>
      </c>
      <c r="G4" s="95" t="s">
        <v>259</v>
      </c>
    </row>
    <row r="5" spans="1:17" ht="18.600000000000001" thickBot="1">
      <c r="A5" s="230" t="s">
        <v>3</v>
      </c>
      <c r="B5" s="231"/>
      <c r="C5" s="232"/>
      <c r="E5" s="16" t="s">
        <v>49</v>
      </c>
      <c r="F5" s="4">
        <v>2218771228</v>
      </c>
      <c r="G5" s="4">
        <v>2333088493</v>
      </c>
      <c r="P5" s="24"/>
      <c r="Q5" s="25"/>
    </row>
    <row r="6" spans="1:17" ht="21.6" thickBot="1">
      <c r="A6" s="233" t="s">
        <v>4</v>
      </c>
      <c r="B6" s="234"/>
      <c r="C6" s="235"/>
      <c r="E6" s="16" t="s">
        <v>50</v>
      </c>
      <c r="F6" s="4">
        <v>-1693087998</v>
      </c>
      <c r="G6" s="4">
        <v>-1653963902</v>
      </c>
      <c r="P6" s="26"/>
      <c r="Q6" s="27"/>
    </row>
    <row r="7" spans="1:17" ht="18" thickBot="1">
      <c r="A7" s="3" t="s">
        <v>5</v>
      </c>
      <c r="B7" s="4">
        <f>258991+80199+118143995</f>
        <v>118483185</v>
      </c>
      <c r="C7" s="4">
        <v>100441138</v>
      </c>
      <c r="E7" s="16" t="s">
        <v>51</v>
      </c>
      <c r="F7" s="4">
        <v>-36107853</v>
      </c>
      <c r="G7" s="4">
        <v>-35220880</v>
      </c>
      <c r="P7" s="29"/>
    </row>
    <row r="8" spans="1:17" ht="18" thickBot="1">
      <c r="A8" s="3" t="s">
        <v>6</v>
      </c>
      <c r="B8" s="4">
        <f>1780998859-B9</f>
        <v>1683733571</v>
      </c>
      <c r="C8" s="4">
        <v>1554602062</v>
      </c>
      <c r="D8" s="30"/>
      <c r="E8" s="16" t="s">
        <v>52</v>
      </c>
      <c r="F8" s="4">
        <v>-116173283</v>
      </c>
      <c r="G8" s="4">
        <v>-119940542</v>
      </c>
      <c r="P8" s="31"/>
    </row>
    <row r="9" spans="1:17" ht="31.8" thickBot="1">
      <c r="A9" s="6" t="s">
        <v>7</v>
      </c>
      <c r="B9" s="7">
        <v>97265288</v>
      </c>
      <c r="C9" s="8">
        <v>88890783</v>
      </c>
      <c r="E9" s="16" t="s">
        <v>53</v>
      </c>
      <c r="F9" s="4">
        <v>373402094</v>
      </c>
      <c r="G9" s="4">
        <v>523963169</v>
      </c>
      <c r="M9" s="30"/>
      <c r="P9" s="29"/>
    </row>
    <row r="10" spans="1:17" ht="31.8" thickBot="1">
      <c r="A10" s="3" t="s">
        <v>8</v>
      </c>
      <c r="B10" s="9">
        <v>4157418676</v>
      </c>
      <c r="C10" s="4">
        <v>2147558760</v>
      </c>
      <c r="E10" s="16" t="s">
        <v>54</v>
      </c>
      <c r="F10" s="4">
        <v>0</v>
      </c>
      <c r="G10" s="4">
        <v>0</v>
      </c>
      <c r="P10" s="31"/>
    </row>
    <row r="11" spans="1:17" ht="18" thickBot="1">
      <c r="A11" s="3" t="s">
        <v>9</v>
      </c>
      <c r="B11" s="4">
        <f xml:space="preserve"> 68671352+48697484+85116158</f>
        <v>202484994</v>
      </c>
      <c r="C11" s="4">
        <v>144158282</v>
      </c>
      <c r="E11" s="16" t="s">
        <v>55</v>
      </c>
      <c r="F11" s="4">
        <v>248629416</v>
      </c>
      <c r="G11" s="4">
        <v>167034022</v>
      </c>
      <c r="M11" s="32"/>
      <c r="P11" s="29"/>
    </row>
    <row r="12" spans="1:17" ht="18" thickBot="1">
      <c r="A12" s="10" t="s">
        <v>10</v>
      </c>
      <c r="B12" s="11">
        <f>SUM(B7:B11)</f>
        <v>6259385714</v>
      </c>
      <c r="C12" s="11">
        <f>SUM(C7:C11)</f>
        <v>4035651025</v>
      </c>
      <c r="E12" s="16" t="s">
        <v>56</v>
      </c>
      <c r="F12" s="4">
        <v>4053633</v>
      </c>
      <c r="G12" s="4">
        <v>2466638</v>
      </c>
      <c r="M12" s="32"/>
      <c r="P12" s="29"/>
      <c r="Q12" s="33"/>
    </row>
    <row r="13" spans="1:17" ht="18" thickBot="1">
      <c r="A13" s="202" t="s">
        <v>11</v>
      </c>
      <c r="B13" s="203"/>
      <c r="C13" s="204"/>
      <c r="E13" s="16" t="s">
        <v>57</v>
      </c>
      <c r="F13" s="4">
        <v>1778679761</v>
      </c>
      <c r="G13" s="4">
        <v>4468478131</v>
      </c>
      <c r="P13" s="29"/>
    </row>
    <row r="14" spans="1:17" ht="18" thickBot="1">
      <c r="A14" s="3" t="s">
        <v>12</v>
      </c>
      <c r="B14" s="4">
        <v>6483299</v>
      </c>
      <c r="C14" s="4">
        <v>6995927</v>
      </c>
      <c r="E14" s="16" t="s">
        <v>58</v>
      </c>
      <c r="F14" s="4">
        <v>-800740586</v>
      </c>
      <c r="G14" s="4">
        <v>-5061052262</v>
      </c>
      <c r="P14" s="31"/>
    </row>
    <row r="15" spans="1:17" ht="18" thickBot="1">
      <c r="A15" s="3" t="s">
        <v>13</v>
      </c>
      <c r="B15" s="4">
        <f>128911694*0.62</f>
        <v>79925250.280000001</v>
      </c>
      <c r="C15" s="4">
        <v>67831061</v>
      </c>
      <c r="E15" s="16" t="s">
        <v>59</v>
      </c>
      <c r="F15" s="4">
        <v>1604024318</v>
      </c>
      <c r="G15" s="4">
        <v>100889698</v>
      </c>
      <c r="P15" s="29"/>
    </row>
    <row r="16" spans="1:17" ht="18" thickBot="1">
      <c r="A16" s="3" t="s">
        <v>14</v>
      </c>
      <c r="B16" s="4">
        <f>128911694*0.107</f>
        <v>13793551.257999999</v>
      </c>
      <c r="C16" s="4">
        <v>8801022</v>
      </c>
      <c r="E16" s="16" t="s">
        <v>60</v>
      </c>
      <c r="F16" s="4">
        <v>-269647000</v>
      </c>
      <c r="G16" s="4">
        <v>-40871486</v>
      </c>
      <c r="M16" s="12"/>
      <c r="P16" s="31"/>
    </row>
    <row r="17" spans="1:17" ht="18" thickBot="1">
      <c r="A17" s="3" t="s">
        <v>15</v>
      </c>
      <c r="B17" s="4">
        <f>128911694*0.25</f>
        <v>32227923.5</v>
      </c>
      <c r="C17" s="4">
        <v>25431978</v>
      </c>
      <c r="E17" s="16" t="s">
        <v>61</v>
      </c>
      <c r="F17" s="4">
        <v>1334377318</v>
      </c>
      <c r="G17" s="4">
        <v>60018212</v>
      </c>
      <c r="L17" s="30"/>
      <c r="P17" s="29"/>
      <c r="Q17" s="34"/>
    </row>
    <row r="18" spans="1:17" ht="18" thickBot="1">
      <c r="A18" s="3" t="s">
        <v>16</v>
      </c>
      <c r="B18" s="4">
        <f>370070251-B14-85116158</f>
        <v>278470794</v>
      </c>
      <c r="C18" s="4">
        <v>241855930</v>
      </c>
      <c r="L18" s="23"/>
      <c r="P18" s="31"/>
    </row>
    <row r="19" spans="1:17" ht="31.8" thickBot="1">
      <c r="A19" s="3" t="s">
        <v>17</v>
      </c>
      <c r="B19" s="4">
        <v>117322239</v>
      </c>
      <c r="C19" s="4">
        <v>103639491</v>
      </c>
      <c r="L19" s="23"/>
      <c r="P19" s="29"/>
    </row>
    <row r="20" spans="1:17" ht="18" thickBot="1">
      <c r="A20" s="3" t="s">
        <v>18</v>
      </c>
      <c r="B20" s="4">
        <f>8292304+4527335+1502886150+2811094</f>
        <v>1518516883</v>
      </c>
      <c r="C20" s="4">
        <v>2186644582</v>
      </c>
      <c r="L20" s="23"/>
      <c r="P20" s="31"/>
    </row>
    <row r="21" spans="1:17" ht="21.6" thickBot="1">
      <c r="A21" s="10" t="s">
        <v>19</v>
      </c>
      <c r="B21" s="11">
        <f>SUM(B14:B20)</f>
        <v>2046739940.0380001</v>
      </c>
      <c r="C21" s="11">
        <f>SUM(C14:C20)</f>
        <v>2641199991</v>
      </c>
      <c r="L21" s="23"/>
      <c r="P21" s="35"/>
    </row>
    <row r="22" spans="1:17" ht="16.2" thickBot="1">
      <c r="A22" s="10" t="s">
        <v>20</v>
      </c>
      <c r="B22" s="11">
        <f>B12+B21</f>
        <v>8306125654.0380001</v>
      </c>
      <c r="C22" s="11">
        <f>C12+C21</f>
        <v>6676851016</v>
      </c>
    </row>
    <row r="23" spans="1:17" ht="16.2" thickBot="1">
      <c r="A23" s="236" t="s">
        <v>21</v>
      </c>
      <c r="B23" s="237"/>
      <c r="C23" s="238"/>
    </row>
    <row r="24" spans="1:17" ht="16.2" thickBot="1">
      <c r="A24" s="202" t="s">
        <v>22</v>
      </c>
      <c r="B24" s="203"/>
      <c r="C24" s="204"/>
    </row>
    <row r="25" spans="1:17" ht="16.2" thickBot="1">
      <c r="A25" s="3" t="s">
        <v>23</v>
      </c>
      <c r="B25" s="4">
        <f>43427993+192511786+317163645</f>
        <v>553103424</v>
      </c>
      <c r="C25" s="4">
        <v>540262471</v>
      </c>
    </row>
    <row r="26" spans="1:17" ht="16.2" thickBot="1">
      <c r="A26" s="3" t="s">
        <v>24</v>
      </c>
      <c r="B26" s="4">
        <f>6514198+6913861929</f>
        <v>6920376127</v>
      </c>
      <c r="C26" s="4">
        <v>5616029413</v>
      </c>
    </row>
    <row r="27" spans="1:17" ht="16.2" thickBot="1">
      <c r="A27" s="10" t="s">
        <v>25</v>
      </c>
      <c r="B27" s="11">
        <f>SUM(B25:B26)</f>
        <v>7473479551</v>
      </c>
      <c r="C27" s="11">
        <f>SUM(C25:C26)</f>
        <v>6156291884</v>
      </c>
    </row>
    <row r="28" spans="1:17" ht="16.2" thickBot="1">
      <c r="A28" s="202" t="s">
        <v>26</v>
      </c>
      <c r="B28" s="203"/>
      <c r="C28" s="204"/>
    </row>
    <row r="29" spans="1:17" ht="16.2" thickBot="1">
      <c r="A29" s="3" t="s">
        <v>27</v>
      </c>
      <c r="B29" s="4">
        <v>438844622</v>
      </c>
      <c r="C29" s="4">
        <v>254061278</v>
      </c>
    </row>
    <row r="30" spans="1:17" ht="16.2" thickBot="1">
      <c r="A30" s="202" t="s">
        <v>28</v>
      </c>
      <c r="B30" s="203"/>
      <c r="C30" s="204"/>
    </row>
    <row r="31" spans="1:17" ht="16.2" thickBot="1">
      <c r="A31" s="3" t="s">
        <v>29</v>
      </c>
      <c r="B31" s="4" t="s">
        <v>30</v>
      </c>
      <c r="C31" s="4" t="s">
        <v>30</v>
      </c>
    </row>
    <row r="32" spans="1:17" ht="31.8" thickBot="1">
      <c r="A32" s="3" t="s">
        <v>31</v>
      </c>
      <c r="B32" s="4">
        <f>368881966*0.075</f>
        <v>27666147.449999999</v>
      </c>
      <c r="C32" s="4">
        <v>25064417</v>
      </c>
    </row>
    <row r="33" spans="1:17" ht="16.2" thickBot="1">
      <c r="A33" s="3" t="s">
        <v>32</v>
      </c>
      <c r="B33" s="4">
        <v>73860933</v>
      </c>
      <c r="C33" s="4">
        <v>44466308</v>
      </c>
    </row>
    <row r="34" spans="1:17" ht="31.8" thickBot="1">
      <c r="A34" s="3" t="s">
        <v>33</v>
      </c>
      <c r="B34" s="4">
        <f>368881966*0.623</f>
        <v>229813464.81799999</v>
      </c>
      <c r="C34" s="4">
        <v>149277468</v>
      </c>
    </row>
    <row r="35" spans="1:17" ht="16.2" thickBot="1">
      <c r="A35" s="3" t="s">
        <v>34</v>
      </c>
      <c r="B35" s="4" t="s">
        <v>30</v>
      </c>
      <c r="C35" s="13" t="s">
        <v>30</v>
      </c>
      <c r="L35" s="30"/>
    </row>
    <row r="36" spans="1:17" ht="31.8" thickBot="1">
      <c r="A36" s="3" t="s">
        <v>35</v>
      </c>
      <c r="B36" s="4">
        <f>24840752+6277910+6440000-17241+21836593+524983+13253+2544686</f>
        <v>62460936</v>
      </c>
      <c r="C36" s="4">
        <f>21248154+1182725+13141+25245641</f>
        <v>47689661</v>
      </c>
      <c r="L36" s="30"/>
      <c r="Q36" s="12"/>
    </row>
    <row r="37" spans="1:17" ht="31.8" thickBot="1">
      <c r="A37" s="3" t="s">
        <v>36</v>
      </c>
      <c r="B37" s="4">
        <f>SUM(B31:B36)</f>
        <v>393801481.26800001</v>
      </c>
      <c r="C37" s="4">
        <f>SUM(C31:C36)</f>
        <v>266497854</v>
      </c>
    </row>
    <row r="38" spans="1:17" ht="16.2" thickBot="1">
      <c r="A38" s="10" t="s">
        <v>37</v>
      </c>
      <c r="B38" s="11">
        <f>B37+B29</f>
        <v>832646103.26800001</v>
      </c>
      <c r="C38" s="11">
        <f>C37+C29</f>
        <v>520559132</v>
      </c>
    </row>
    <row r="39" spans="1:17" ht="16.2" thickBot="1">
      <c r="A39" s="10" t="s">
        <v>20</v>
      </c>
      <c r="B39" s="11">
        <f>SUM(B38,B27)</f>
        <v>8306125654.2679996</v>
      </c>
      <c r="C39" s="11">
        <f>SUM(C38,C27)</f>
        <v>6676851016</v>
      </c>
    </row>
    <row r="41" spans="1:17">
      <c r="A41" s="98"/>
      <c r="B41" s="98" t="s">
        <v>327</v>
      </c>
      <c r="C41" s="193" t="s">
        <v>118</v>
      </c>
    </row>
    <row r="42" spans="1:17">
      <c r="A42" s="98" t="s">
        <v>62</v>
      </c>
      <c r="B42" s="98">
        <f>F17/B27</f>
        <v>0.17854833332907852</v>
      </c>
      <c r="C42" s="194">
        <v>0.13900000000000001</v>
      </c>
    </row>
    <row r="43" spans="1:17">
      <c r="A43" s="98" t="s">
        <v>63</v>
      </c>
      <c r="B43" s="98">
        <f>(F17+F10*0.8)/B39</f>
        <v>0.16064978710192601</v>
      </c>
      <c r="C43" s="194">
        <v>6.4000000000000001E-2</v>
      </c>
    </row>
    <row r="44" spans="1:17">
      <c r="A44" s="98" t="s">
        <v>64</v>
      </c>
      <c r="B44" s="98">
        <f>-F10*0.8/B38</f>
        <v>0</v>
      </c>
      <c r="C44" s="193"/>
    </row>
    <row r="45" spans="1:17">
      <c r="A45" s="98" t="s">
        <v>65</v>
      </c>
      <c r="B45" s="98">
        <f>(B43-B44)*(B38/B27)</f>
        <v>1.7898546227152513E-2</v>
      </c>
      <c r="C45" s="193"/>
      <c r="D45" s="198"/>
    </row>
    <row r="46" spans="1:17">
      <c r="A46" s="98" t="s">
        <v>341</v>
      </c>
      <c r="B46" s="98">
        <f>F17/F5</f>
        <v>0.60140374147667652</v>
      </c>
      <c r="C46" s="194">
        <v>0.127</v>
      </c>
    </row>
    <row r="47" spans="1:17">
      <c r="A47" s="98" t="s">
        <v>328</v>
      </c>
      <c r="B47" s="98">
        <f>F9*(1-0.25)/F5</f>
        <v>0.12621921853224968</v>
      </c>
      <c r="C47" s="194">
        <v>0.128</v>
      </c>
    </row>
    <row r="48" spans="1:17">
      <c r="A48" s="58" t="s">
        <v>330</v>
      </c>
    </row>
    <row r="49" spans="1:4">
      <c r="A49" t="s">
        <v>331</v>
      </c>
    </row>
    <row r="56" spans="1:4" ht="18">
      <c r="A56" s="46" t="s">
        <v>66</v>
      </c>
    </row>
    <row r="57" spans="1:4">
      <c r="A57" s="38" t="s">
        <v>67</v>
      </c>
      <c r="B57" s="38" t="s">
        <v>68</v>
      </c>
      <c r="C57" s="38">
        <v>2023</v>
      </c>
      <c r="D57" s="39">
        <v>2022</v>
      </c>
    </row>
    <row r="58" spans="1:4" ht="28.8">
      <c r="A58" s="40" t="s">
        <v>69</v>
      </c>
      <c r="B58" s="40" t="s">
        <v>70</v>
      </c>
      <c r="C58" s="41">
        <f>F17/F5</f>
        <v>0.60140374147667652</v>
      </c>
      <c r="D58" s="41">
        <f>G17/G5</f>
        <v>2.5724790199803192E-2</v>
      </c>
    </row>
    <row r="59" spans="1:4">
      <c r="A59" s="40" t="s">
        <v>71</v>
      </c>
      <c r="B59" s="40" t="s">
        <v>72</v>
      </c>
      <c r="C59" s="41">
        <f>F5/B22</f>
        <v>0.26712468850279797</v>
      </c>
      <c r="D59" s="41">
        <f>G5/C22</f>
        <v>0.34942946718582285</v>
      </c>
    </row>
    <row r="60" spans="1:4" ht="28.8">
      <c r="A60" s="40" t="s">
        <v>73</v>
      </c>
      <c r="B60" s="40" t="s">
        <v>74</v>
      </c>
      <c r="C60" s="41">
        <f>B22/B27</f>
        <v>1.1114134450165969</v>
      </c>
      <c r="D60" s="41">
        <f>C22/C27</f>
        <v>1.0845572532635945</v>
      </c>
    </row>
    <row r="61" spans="1:4" ht="28.8">
      <c r="A61" s="40" t="s">
        <v>75</v>
      </c>
      <c r="B61" s="40" t="s">
        <v>76</v>
      </c>
      <c r="C61" s="196">
        <f>C58*C59*C60</f>
        <v>0.17854833332907849</v>
      </c>
      <c r="D61" s="196">
        <f>G17/C27</f>
        <v>9.7490848599926447E-3</v>
      </c>
    </row>
    <row r="62" spans="1:4">
      <c r="A62" s="38" t="s">
        <v>77</v>
      </c>
      <c r="B62" s="39"/>
      <c r="C62" s="190">
        <f>C61-D61</f>
        <v>0.16879924846908584</v>
      </c>
      <c r="D62" s="36"/>
    </row>
    <row r="63" spans="1:4">
      <c r="A63" s="40" t="s">
        <v>78</v>
      </c>
      <c r="B63" s="36" t="s">
        <v>79</v>
      </c>
      <c r="C63" s="196">
        <f>D58*D59*D60</f>
        <v>9.7490848599926429E-3</v>
      </c>
      <c r="D63" s="42"/>
    </row>
    <row r="64" spans="1:4">
      <c r="A64" s="40" t="s">
        <v>80</v>
      </c>
      <c r="B64" s="36" t="s">
        <v>81</v>
      </c>
      <c r="C64" s="196">
        <f>C58*D59*D60</f>
        <v>0.22791774258349648</v>
      </c>
      <c r="D64" s="36"/>
    </row>
    <row r="65" spans="1:4">
      <c r="A65" s="38" t="s">
        <v>82</v>
      </c>
      <c r="B65" s="36" t="s">
        <v>83</v>
      </c>
      <c r="C65" s="197">
        <f>C64-C63</f>
        <v>0.21816865772350383</v>
      </c>
      <c r="D65" s="36"/>
    </row>
    <row r="66" spans="1:4">
      <c r="A66" s="40" t="s">
        <v>84</v>
      </c>
      <c r="B66" s="36" t="s">
        <v>85</v>
      </c>
      <c r="C66" s="196">
        <f>C58*C59*D60</f>
        <v>0.1742338918414707</v>
      </c>
      <c r="D66" s="36"/>
    </row>
    <row r="67" spans="1:4">
      <c r="A67" s="38" t="s">
        <v>86</v>
      </c>
      <c r="B67" s="36" t="s">
        <v>87</v>
      </c>
      <c r="C67" s="197">
        <f>C66-C64</f>
        <v>-5.3683850742025779E-2</v>
      </c>
      <c r="D67" s="36"/>
    </row>
    <row r="68" spans="1:4">
      <c r="A68" s="40" t="s">
        <v>88</v>
      </c>
      <c r="B68" s="36" t="s">
        <v>89</v>
      </c>
      <c r="C68" s="196">
        <f>C58*C59*C60</f>
        <v>0.17854833332907849</v>
      </c>
      <c r="D68" s="36"/>
    </row>
    <row r="69" spans="1:4">
      <c r="A69" s="38" t="s">
        <v>90</v>
      </c>
      <c r="B69" s="36" t="s">
        <v>91</v>
      </c>
      <c r="C69" s="197">
        <f>C68-C66</f>
        <v>4.3144414876077897E-3</v>
      </c>
      <c r="D69" s="36"/>
    </row>
    <row r="70" spans="1:4">
      <c r="A70" s="38" t="s">
        <v>92</v>
      </c>
      <c r="B70" s="43" t="s">
        <v>93</v>
      </c>
      <c r="C70" s="98">
        <f>C65+C67+C69</f>
        <v>0.16879924846908584</v>
      </c>
      <c r="D70" s="36"/>
    </row>
  </sheetData>
  <mergeCells count="7">
    <mergeCell ref="A30:C30"/>
    <mergeCell ref="A5:C5"/>
    <mergeCell ref="A6:C6"/>
    <mergeCell ref="A13:C13"/>
    <mergeCell ref="A23:C23"/>
    <mergeCell ref="A24:C24"/>
    <mergeCell ref="A28:C28"/>
  </mergeCells>
  <hyperlinks>
    <hyperlink ref="C1" location="readme!A1" display="Содержание" xr:uid="{CD21CEFD-064E-4A32-9A93-4068B0CC5967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DB3B7-C8E9-4CC5-A1B8-F5B920C3FA56}">
  <dimension ref="A1:F28"/>
  <sheetViews>
    <sheetView topLeftCell="B3" zoomScale="80" workbookViewId="0">
      <selection activeCell="D8" sqref="D8"/>
    </sheetView>
  </sheetViews>
  <sheetFormatPr defaultRowHeight="14.4"/>
  <cols>
    <col min="1" max="1" width="20.77734375" customWidth="1"/>
    <col min="2" max="2" width="50.77734375" customWidth="1"/>
    <col min="3" max="4" width="12.77734375" customWidth="1"/>
    <col min="5" max="5" width="16.77734375" customWidth="1"/>
    <col min="6" max="6" width="60.77734375" customWidth="1"/>
  </cols>
  <sheetData>
    <row r="1" spans="1:6" ht="18">
      <c r="A1" s="128" t="s">
        <v>263</v>
      </c>
      <c r="B1" s="129"/>
      <c r="C1" s="186" t="s">
        <v>314</v>
      </c>
    </row>
    <row r="3" spans="1:6">
      <c r="A3" s="99" t="s">
        <v>116</v>
      </c>
      <c r="B3" s="99" t="s">
        <v>67</v>
      </c>
      <c r="C3" s="99" t="s">
        <v>117</v>
      </c>
      <c r="D3" s="99" t="s">
        <v>118</v>
      </c>
      <c r="E3" s="99" t="s">
        <v>119</v>
      </c>
      <c r="F3" s="99" t="s">
        <v>120</v>
      </c>
    </row>
    <row r="4" spans="1:6">
      <c r="A4" s="49" t="s">
        <v>121</v>
      </c>
      <c r="B4" s="49" t="s">
        <v>122</v>
      </c>
      <c r="C4" s="96">
        <v>5.4487388468230948</v>
      </c>
      <c r="D4" s="49">
        <v>1.05</v>
      </c>
      <c r="E4" s="96">
        <v>1.1381297920798654</v>
      </c>
      <c r="F4" s="187" t="s">
        <v>267</v>
      </c>
    </row>
    <row r="5" spans="1:6">
      <c r="A5" s="49" t="s">
        <v>121</v>
      </c>
      <c r="B5" s="49" t="s">
        <v>123</v>
      </c>
      <c r="C5" s="49">
        <v>0.3</v>
      </c>
      <c r="D5" s="49">
        <v>0.04</v>
      </c>
      <c r="E5" s="49"/>
      <c r="F5" s="187" t="s">
        <v>268</v>
      </c>
    </row>
    <row r="6" spans="1:6">
      <c r="A6" s="49" t="s">
        <v>121</v>
      </c>
      <c r="B6" s="49" t="s">
        <v>124</v>
      </c>
      <c r="C6" s="49">
        <v>11.47</v>
      </c>
      <c r="D6" s="49"/>
      <c r="E6" s="49"/>
      <c r="F6" s="187" t="s">
        <v>268</v>
      </c>
    </row>
    <row r="7" spans="1:6">
      <c r="A7" s="49" t="s">
        <v>121</v>
      </c>
      <c r="B7" s="49" t="s">
        <v>125</v>
      </c>
      <c r="C7" s="49">
        <v>30.77</v>
      </c>
      <c r="D7" s="49"/>
      <c r="E7" s="49"/>
      <c r="F7" s="187" t="s">
        <v>269</v>
      </c>
    </row>
    <row r="8" spans="1:6">
      <c r="A8" s="50" t="s">
        <v>126</v>
      </c>
      <c r="B8" s="50" t="s">
        <v>127</v>
      </c>
      <c r="C8" s="50">
        <v>0.9</v>
      </c>
      <c r="D8" s="50">
        <v>0.2</v>
      </c>
      <c r="E8" s="50">
        <v>0.28999999999999998</v>
      </c>
      <c r="F8" s="187" t="s">
        <v>270</v>
      </c>
    </row>
    <row r="9" spans="1:6">
      <c r="A9" s="50" t="s">
        <v>126</v>
      </c>
      <c r="B9" s="50" t="s">
        <v>128</v>
      </c>
      <c r="C9" s="50">
        <v>0.11</v>
      </c>
      <c r="D9" s="50"/>
      <c r="E9" s="50"/>
      <c r="F9" s="189" t="s">
        <v>129</v>
      </c>
    </row>
    <row r="10" spans="1:6">
      <c r="A10" s="50" t="s">
        <v>126</v>
      </c>
      <c r="B10" s="50" t="s">
        <v>130</v>
      </c>
      <c r="C10" s="50">
        <v>2.2799999999999998</v>
      </c>
      <c r="D10" s="50"/>
      <c r="E10" s="50" t="s">
        <v>278</v>
      </c>
      <c r="F10" s="189" t="s">
        <v>271</v>
      </c>
    </row>
    <row r="11" spans="1:6">
      <c r="A11" s="50" t="s">
        <v>126</v>
      </c>
      <c r="B11" s="50" t="s">
        <v>131</v>
      </c>
      <c r="C11" s="50"/>
      <c r="D11" s="50"/>
      <c r="E11" s="50"/>
      <c r="F11" s="188" t="s">
        <v>132</v>
      </c>
    </row>
    <row r="12" spans="1:6">
      <c r="A12" s="50" t="s">
        <v>126</v>
      </c>
      <c r="B12" s="50" t="s">
        <v>133</v>
      </c>
      <c r="C12" s="50">
        <v>1.26</v>
      </c>
      <c r="D12" s="50">
        <v>7.0000000000000007E-2</v>
      </c>
      <c r="E12" s="50" t="s">
        <v>134</v>
      </c>
      <c r="F12" s="187" t="s">
        <v>272</v>
      </c>
    </row>
    <row r="13" spans="1:6">
      <c r="A13" s="51" t="s">
        <v>135</v>
      </c>
      <c r="B13" s="51" t="s">
        <v>136</v>
      </c>
      <c r="C13" s="52">
        <v>0.17849999999999999</v>
      </c>
      <c r="D13" s="192">
        <v>0.13900000000000001</v>
      </c>
      <c r="E13" s="51"/>
      <c r="F13" s="187" t="s">
        <v>273</v>
      </c>
    </row>
    <row r="14" spans="1:6">
      <c r="A14" s="51" t="s">
        <v>135</v>
      </c>
      <c r="B14" s="51" t="s">
        <v>137</v>
      </c>
      <c r="C14" s="52">
        <v>0.16059999999999999</v>
      </c>
      <c r="D14" s="52">
        <v>6.4000000000000001E-2</v>
      </c>
      <c r="E14" s="51"/>
      <c r="F14" s="187" t="s">
        <v>274</v>
      </c>
    </row>
    <row r="15" spans="1:6">
      <c r="A15" s="51" t="s">
        <v>135</v>
      </c>
      <c r="B15" s="51" t="s">
        <v>329</v>
      </c>
      <c r="C15" s="52">
        <f>рент!B47</f>
        <v>0.12621921853224968</v>
      </c>
      <c r="D15" s="195">
        <v>0.128</v>
      </c>
      <c r="E15" s="51"/>
      <c r="F15" s="189" t="s">
        <v>332</v>
      </c>
    </row>
    <row r="16" spans="1:6">
      <c r="A16" s="51" t="s">
        <v>135</v>
      </c>
      <c r="B16" s="51" t="s">
        <v>138</v>
      </c>
      <c r="C16" s="52">
        <v>0.60099999999999998</v>
      </c>
      <c r="D16" s="195">
        <v>0.127</v>
      </c>
      <c r="E16" s="51"/>
      <c r="F16" s="188" t="s">
        <v>275</v>
      </c>
    </row>
    <row r="17" spans="1:6">
      <c r="A17" s="53" t="s">
        <v>139</v>
      </c>
      <c r="B17" s="53" t="s">
        <v>140</v>
      </c>
      <c r="C17" s="191">
        <f>Обор!C14</f>
        <v>1232.3907971110282</v>
      </c>
      <c r="D17" s="53">
        <v>373</v>
      </c>
      <c r="E17" s="53"/>
      <c r="F17" s="189" t="s">
        <v>333</v>
      </c>
    </row>
    <row r="18" spans="1:6">
      <c r="A18" s="53" t="s">
        <v>139</v>
      </c>
      <c r="B18" s="53" t="s">
        <v>141</v>
      </c>
      <c r="C18" s="191">
        <f>Обор!C13</f>
        <v>385.59587695105762</v>
      </c>
      <c r="D18" s="53">
        <v>97</v>
      </c>
      <c r="E18" s="53"/>
      <c r="F18" s="189" t="s">
        <v>333</v>
      </c>
    </row>
    <row r="19" spans="1:6">
      <c r="A19" s="53" t="s">
        <v>139</v>
      </c>
      <c r="B19" s="53" t="s">
        <v>142</v>
      </c>
      <c r="C19" s="53">
        <v>16</v>
      </c>
      <c r="D19" s="53">
        <v>8</v>
      </c>
      <c r="E19" s="53"/>
      <c r="F19" s="189" t="s">
        <v>335</v>
      </c>
    </row>
    <row r="20" spans="1:6">
      <c r="A20" s="53" t="s">
        <v>139</v>
      </c>
      <c r="B20" s="53" t="s">
        <v>143</v>
      </c>
      <c r="C20" s="53">
        <v>58</v>
      </c>
      <c r="D20" s="53">
        <v>51</v>
      </c>
      <c r="E20" s="53"/>
      <c r="F20" s="189" t="s">
        <v>334</v>
      </c>
    </row>
    <row r="21" spans="1:6">
      <c r="A21" s="53" t="s">
        <v>139</v>
      </c>
      <c r="B21" s="53" t="s">
        <v>144</v>
      </c>
      <c r="C21" s="53">
        <v>61</v>
      </c>
      <c r="D21" s="53"/>
      <c r="E21" s="53"/>
      <c r="F21" s="187" t="s">
        <v>145</v>
      </c>
    </row>
    <row r="22" spans="1:6">
      <c r="A22" s="53" t="s">
        <v>139</v>
      </c>
      <c r="B22" s="53" t="s">
        <v>146</v>
      </c>
      <c r="C22" s="53">
        <v>84</v>
      </c>
      <c r="D22" s="53"/>
      <c r="E22" s="53"/>
      <c r="F22" s="187" t="s">
        <v>147</v>
      </c>
    </row>
    <row r="23" spans="1:6">
      <c r="A23" s="53" t="s">
        <v>139</v>
      </c>
      <c r="B23" s="53" t="s">
        <v>148</v>
      </c>
      <c r="C23" s="53">
        <v>31</v>
      </c>
      <c r="D23" s="53"/>
      <c r="E23" s="53"/>
      <c r="F23" s="187" t="s">
        <v>149</v>
      </c>
    </row>
    <row r="24" spans="1:6">
      <c r="A24" s="54" t="s">
        <v>150</v>
      </c>
      <c r="B24" s="54" t="s">
        <v>151</v>
      </c>
      <c r="C24" s="54">
        <v>1744</v>
      </c>
      <c r="D24" s="54"/>
      <c r="E24" s="54"/>
      <c r="F24" s="187" t="s">
        <v>152</v>
      </c>
    </row>
    <row r="25" spans="1:6">
      <c r="A25" s="54" t="s">
        <v>150</v>
      </c>
      <c r="B25" s="54" t="s">
        <v>153</v>
      </c>
      <c r="C25" s="54">
        <v>4.67</v>
      </c>
      <c r="D25" s="54"/>
      <c r="E25" s="54"/>
      <c r="F25" s="188" t="s">
        <v>154</v>
      </c>
    </row>
    <row r="26" spans="1:6">
      <c r="A26" s="54" t="s">
        <v>150</v>
      </c>
      <c r="B26" s="54" t="s">
        <v>155</v>
      </c>
      <c r="C26" s="55">
        <v>0.214</v>
      </c>
      <c r="D26" s="54"/>
      <c r="E26" s="54"/>
      <c r="F26" s="187" t="s">
        <v>156</v>
      </c>
    </row>
    <row r="27" spans="1:6">
      <c r="A27" s="56" t="s">
        <v>157</v>
      </c>
      <c r="B27" s="56" t="s">
        <v>158</v>
      </c>
      <c r="C27" s="57">
        <v>0.23369999999999999</v>
      </c>
      <c r="D27" s="56"/>
      <c r="E27" s="56"/>
      <c r="F27" s="188"/>
    </row>
    <row r="28" spans="1:6">
      <c r="A28" s="56" t="s">
        <v>157</v>
      </c>
      <c r="B28" s="56" t="s">
        <v>159</v>
      </c>
      <c r="C28" s="56">
        <v>-412</v>
      </c>
      <c r="D28" s="56"/>
      <c r="E28" s="56" t="s">
        <v>160</v>
      </c>
      <c r="F28" s="189" t="s">
        <v>276</v>
      </c>
    </row>
  </sheetData>
  <hyperlinks>
    <hyperlink ref="C1" location="readme!A1" display="Содержание" xr:uid="{D2FB784A-3DF3-43AA-91F0-0CEC2F5DD76F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60416-B557-4679-8881-ADBC5A98027F}">
  <sheetPr>
    <outlinePr summaryBelow="0" summaryRight="0"/>
  </sheetPr>
  <dimension ref="A1:E25"/>
  <sheetViews>
    <sheetView tabSelected="1" workbookViewId="0">
      <selection activeCell="C2" sqref="C2"/>
    </sheetView>
  </sheetViews>
  <sheetFormatPr defaultColWidth="12.6640625" defaultRowHeight="15.75" customHeight="1"/>
  <cols>
    <col min="1" max="1" width="22.77734375" style="45" customWidth="1"/>
    <col min="2" max="2" width="18.77734375" style="45" customWidth="1"/>
    <col min="3" max="3" width="70.77734375" style="45" customWidth="1"/>
    <col min="4" max="16384" width="12.6640625" style="45"/>
  </cols>
  <sheetData>
    <row r="1" spans="1:5" ht="15.75" customHeight="1">
      <c r="A1" s="131" t="s">
        <v>281</v>
      </c>
      <c r="B1" s="117">
        <f>(B3-B4)*B2</f>
        <v>-412062126.83138037</v>
      </c>
      <c r="C1" s="118" t="s">
        <v>310</v>
      </c>
    </row>
    <row r="2" spans="1:5" ht="15.75" customHeight="1">
      <c r="A2" s="109" t="s">
        <v>95</v>
      </c>
      <c r="B2" s="111">
        <f>7473479551</f>
        <v>7473479551</v>
      </c>
      <c r="C2" s="114" t="s">
        <v>297</v>
      </c>
    </row>
    <row r="3" spans="1:5" ht="15.75" customHeight="1">
      <c r="A3" s="109" t="s">
        <v>94</v>
      </c>
      <c r="B3" s="119">
        <f>ОФР!B16/(B2)</f>
        <v>0.17854833332907852</v>
      </c>
      <c r="C3" s="114" t="s">
        <v>350</v>
      </c>
    </row>
    <row r="4" spans="1:5" ht="15.75" customHeight="1">
      <c r="A4" s="109" t="s">
        <v>96</v>
      </c>
      <c r="B4" s="106">
        <f>(B5+B6*B8)</f>
        <v>0.23368491649886103</v>
      </c>
      <c r="C4" s="114" t="s">
        <v>349</v>
      </c>
    </row>
    <row r="5" spans="1:5" ht="15.75" customHeight="1">
      <c r="A5" s="109" t="s">
        <v>97</v>
      </c>
      <c r="B5" s="106">
        <v>0.1186</v>
      </c>
      <c r="C5" s="114" t="s">
        <v>311</v>
      </c>
    </row>
    <row r="6" spans="1:5" ht="15.75" customHeight="1">
      <c r="A6" s="109" t="s">
        <v>279</v>
      </c>
      <c r="B6" s="112">
        <f>B7*(1+(1-0.25)*Баланс!B36/Баланс!B25)</f>
        <v>1.0293820795962527</v>
      </c>
      <c r="C6" s="114" t="s">
        <v>348</v>
      </c>
    </row>
    <row r="7" spans="1:5" ht="15.75" customHeight="1">
      <c r="A7" s="110" t="s">
        <v>280</v>
      </c>
      <c r="B7" s="113">
        <v>0.95</v>
      </c>
      <c r="C7" s="114" t="s">
        <v>298</v>
      </c>
    </row>
    <row r="8" spans="1:5" ht="15.75" customHeight="1">
      <c r="A8" s="109" t="s">
        <v>98</v>
      </c>
      <c r="B8" s="106">
        <v>0.1118</v>
      </c>
      <c r="C8" s="114" t="s">
        <v>299</v>
      </c>
    </row>
    <row r="10" spans="1:5" ht="15.75" customHeight="1">
      <c r="A10" s="115" t="s">
        <v>305</v>
      </c>
    </row>
    <row r="11" spans="1:5" ht="15.75" customHeight="1">
      <c r="A11" s="86" t="s">
        <v>309</v>
      </c>
    </row>
    <row r="12" spans="1:5" ht="15.75" customHeight="1">
      <c r="A12" t="s">
        <v>300</v>
      </c>
      <c r="B12"/>
    </row>
    <row r="13" spans="1:5" ht="15.75" customHeight="1">
      <c r="A13" t="s">
        <v>301</v>
      </c>
      <c r="B13"/>
    </row>
    <row r="14" spans="1:5" ht="15.75" customHeight="1">
      <c r="A14" t="s">
        <v>302</v>
      </c>
      <c r="B14"/>
    </row>
    <row r="15" spans="1:5" ht="15.75" customHeight="1">
      <c r="A15"/>
      <c r="B15"/>
    </row>
    <row r="16" spans="1:5" ht="15.75" customHeight="1">
      <c r="A16" s="116" t="s">
        <v>306</v>
      </c>
      <c r="B16"/>
      <c r="E16" s="44"/>
    </row>
    <row r="17" spans="1:2" ht="15.75" customHeight="1">
      <c r="A17" t="s">
        <v>307</v>
      </c>
      <c r="B17"/>
    </row>
    <row r="18" spans="1:2" ht="15.75" customHeight="1">
      <c r="A18" t="s">
        <v>303</v>
      </c>
      <c r="B18"/>
    </row>
    <row r="19" spans="1:2" ht="15.75" customHeight="1">
      <c r="A19" s="86" t="s">
        <v>308</v>
      </c>
    </row>
    <row r="20" spans="1:2" ht="15.75" customHeight="1">
      <c r="A20" s="45" t="s">
        <v>304</v>
      </c>
    </row>
    <row r="22" spans="1:2" ht="15.75" customHeight="1">
      <c r="A22" s="115" t="s">
        <v>323</v>
      </c>
    </row>
    <row r="23" spans="1:2" ht="15.75" customHeight="1">
      <c r="A23" s="86" t="s">
        <v>312</v>
      </c>
    </row>
    <row r="24" spans="1:2" ht="15.75" customHeight="1">
      <c r="A24" s="86" t="s">
        <v>313</v>
      </c>
    </row>
    <row r="25" spans="1:2" ht="15.75" customHeight="1">
      <c r="A25" s="8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readme</vt:lpstr>
      <vt:lpstr>Баланс</vt:lpstr>
      <vt:lpstr>ОФР</vt:lpstr>
      <vt:lpstr>Потоки</vt:lpstr>
      <vt:lpstr>Обор</vt:lpstr>
      <vt:lpstr>ликв</vt:lpstr>
      <vt:lpstr>финуст</vt:lpstr>
      <vt:lpstr>рент</vt:lpstr>
      <vt:lpstr>сводная</vt:lpstr>
      <vt:lpstr>эк.приб.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Бабаев Эльдар Камранович</dc:creator>
  <cp:lastModifiedBy>Бабаев Эльдар Камранович</cp:lastModifiedBy>
  <dcterms:created xsi:type="dcterms:W3CDTF">2026-05-22T22:45:30Z</dcterms:created>
  <dcterms:modified xsi:type="dcterms:W3CDTF">2026-07-16T10:22:01Z</dcterms:modified>
</cp:coreProperties>
</file>